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omar Arboleda\OneDrive\Desktop\Python Project\KPI 1 - Quality Audit\"/>
    </mc:Choice>
  </mc:AlternateContent>
  <xr:revisionPtr revIDLastSave="0" documentId="13_ncr:1_{5E34E18F-C5E4-495F-9AD3-361AF731A9A7}" xr6:coauthVersionLast="47" xr6:coauthVersionMax="47" xr10:uidLastSave="{00000000-0000-0000-0000-000000000000}"/>
  <bookViews>
    <workbookView xWindow="-98" yWindow="-98" windowWidth="21795" windowHeight="12975"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<sst xmlns="http://schemas.openxmlformats.org/spreadsheetml/2006/main" count="137" uniqueCount="103">
  <si>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</si>
  <si>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</si>
  <si>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</si>
  <si>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</si>
  <si>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</si>
  <si>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</si>
  <si>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</si>
  <si>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</si>
  <si>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</si>
  <si>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</si>
  <si>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</si>
  <si>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</si>
  <si>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</si>
  <si>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</si>
  <si>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</si>
  <si>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</si>
  <si>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</si>
  <si>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</si>
  <si>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</si>
  <si>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</si>
  <si>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</si>
  <si>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</si>
  <si>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</si>
  <si>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</si>
  <si>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</si>
  <si>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</si>
  <si>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</si>
  <si>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</si>
  <si>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</si>
  <si>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</si>
  <si>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</si>
  <si>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</si>
  <si>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</si>
  <si>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</si>
  <si>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</si>
  <si>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</si>
  <si>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</si>
  <si>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</si>
  <si>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</si>
  <si>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</si>
  <si>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</si>
  <si>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</si>
  <si>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</si>
  <si>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</si>
  <si>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</si>
  <si>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</si>
  <si>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</si>
  <si>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</si>
  <si>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</si>
  <si>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</si>
  <si>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</si>
  <si>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</si>
  <si>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</si>
  <si>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</si>
  <si>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</si>
  <si>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</si>
  <si>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</si>
  <si>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</si>
  <si>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</si>
  <si>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</si>
  <si>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</si>
  <si>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</si>
  <si>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</si>
  <si>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</si>
  <si>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</si>
  <si>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</si>
  <si>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</si>
  <si>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</si>
  <si>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</si>
  <si>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</si>
  <si>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</si>
  <si>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</si>
  <si>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</si>
  <si>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</si>
  <si>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</si>
  <si>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</si>
  <si>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</si>
  <si>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</si>
  <si>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</si>
  <si>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</si>
  <si>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</si>
  <si>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</si>
  <si>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</si>
  <si>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</si>
  <si>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</si>
  <si>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</si>
  <si>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</si>
  <si>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</si>
  <si>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</si>
  <si>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</si>
  <si>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</si>
  <si>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</si>
  <si>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</si>
  <si>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</si>
  <si>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</si>
  <si>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</si>
  <si>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</si>
  <si>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</si>
  <si>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</si>
  <si>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</si>
  <si>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</si>
  <si>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Christian Arboleda</t>
  </si>
  <si>
    <t>SESA573067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</si>
</sst>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14" fontId="4" fillId="2" borderId="7" xfId="0" applyNumberFormat="1" applyFont="1" applyFill="1" applyBorder="1" applyAlignment="1" applyProtection="1">
      <alignment horizontal="center"/>
      <protection locked="0"/>
    </xf>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topLeftCell="A15" zoomScale="85" zoomScaleNormal="85" workbookViewId="0">
      <selection activeCell="D29" sqref="D29"/>
    </sheetView>
  </sheetViews>
  <sheetFormatPr defaultColWidth="8.86328125" defaultRowHeight="14.25" x14ac:dyDescent="0.45"/>
  <cols>
    <col min="1" max="1" width="8.86328125" style="10"/>
    <col min="2" max="2" width="41.59765625" style="10" bestFit="1" customWidth="1"/>
    <col min="3" max="3" width="88.59765625" style="10" customWidth="1"/>
    <col min="4" max="4" width="16.86328125" style="10" bestFit="1" customWidth="1"/>
    <col min="5" max="5" width="20.1328125" style="10" bestFit="1" customWidth="1"/>
    <col min="6" max="6" width="14.59765625" style="10" bestFit="1" customWidth="1"/>
    <col min="7" max="7" width="47.3984375" style="10" customWidth="1"/>
    <col min="8" max="16384" width="8.86328125" style="10"/>
  </cols>
  <sheetData>
    <row r="2" spans="2:7" ht="14.65" thickBot="1" x14ac:dyDescent="0.5"/>
    <row r="3" spans="2:7" x14ac:dyDescent="0.45">
      <c r="B3" s="21" t="s">
        <v>0</v>
      </c>
      <c r="C3" s="24" t="s">
        <v>101</v>
      </c>
      <c r="E3" s="54">
        <f>IF(D61="Yes",0%,IF(D61="No",F66))</f>
        <v>0.81818181818181823</v>
      </c>
      <c r="F3" s="55"/>
      <c r="G3" s="19"/>
    </row>
    <row r="4" spans="2:7" x14ac:dyDescent="0.45">
      <c r="B4" s="21" t="s">
        <v>1</v>
      </c>
      <c r="C4" s="24" t="s">
        <v>102</v>
      </c>
      <c r="D4" s="23"/>
      <c r="E4" s="56"/>
      <c r="F4" s="57"/>
      <c r="G4" s="20"/>
    </row>
    <row r="5" spans="2:7" x14ac:dyDescent="0.45">
      <c r="B5" s="21" t="s">
        <v>2</v>
      </c>
      <c r="C5" s="22"/>
      <c r="E5" s="56"/>
      <c r="F5" s="57"/>
      <c r="G5" s="19"/>
    </row>
    <row r="6" spans="2:7" x14ac:dyDescent="0.45">
      <c r="B6" s="21" t="s">
        <v>3</v>
      </c>
      <c r="C6" s="60">
        <v>46029</v>
      </c>
      <c r="D6" s="23"/>
      <c r="E6" s="56"/>
      <c r="F6" s="57"/>
      <c r="G6" s="20"/>
    </row>
    <row r="7" spans="2:7" x14ac:dyDescent="0.45">
      <c r="B7" s="21" t="s">
        <v>4</v>
      </c>
      <c r="C7" s="22"/>
      <c r="D7" s="23"/>
      <c r="E7" s="56"/>
      <c r="F7" s="57"/>
      <c r="G7" s="20"/>
    </row>
    <row r="8" spans="2:7" ht="14.65" thickBot="1" x14ac:dyDescent="0.5">
      <c r="B8" s="48" t="s">
        <v>5</v>
      </c>
      <c r="C8" s="22"/>
      <c r="D8" s="23"/>
      <c r="E8" s="58"/>
      <c r="F8" s="59"/>
      <c r="G8" s="20"/>
    </row>
    <row r="9" spans="2:7" x14ac:dyDescent="0.45">
      <c r="B9" s="21" t="s">
        <v>6</v>
      </c>
      <c r="C9" s="22"/>
      <c r="D9" s="23"/>
      <c r="E9" s="20"/>
      <c r="F9" s="20"/>
      <c r="G9" s="20"/>
    </row>
    <row r="10" spans="2:7" x14ac:dyDescent="0.45">
      <c r="B10" s="21" t="s">
        <v>7</v>
      </c>
      <c r="C10" s="22"/>
      <c r="D10" s="23"/>
      <c r="E10" s="20"/>
      <c r="F10" s="20"/>
      <c r="G10" s="20"/>
    </row>
    <row r="11" spans="2:7" x14ac:dyDescent="0.45">
      <c r="B11" s="48" t="s">
        <v>8</v>
      </c>
      <c r="C11" s="22"/>
      <c r="D11" s="23"/>
      <c r="E11" s="20"/>
      <c r="F11" s="20"/>
      <c r="G11" s="20"/>
    </row>
    <row r="12" spans="2:7" x14ac:dyDescent="0.45">
      <c r="B12" s="12"/>
      <c r="C12" s="13"/>
      <c r="D12" s="11"/>
      <c r="E12" s="11"/>
      <c r="F12" s="11"/>
      <c r="G12" s="11"/>
    </row>
    <row r="13" spans="2:7" x14ac:dyDescent="0.45">
      <c r="B13" s="1" t="s">
        <v>9</v>
      </c>
      <c r="C13" s="1" t="s">
        <v>10</v>
      </c>
      <c r="D13" s="25" t="s">
        <v>11</v>
      </c>
      <c r="E13" s="1" t="s">
        <v>12</v>
      </c>
      <c r="F13" s="1" t="s">
        <v>13</v>
      </c>
      <c r="G13" s="1" t="s">
        <v>14</v>
      </c>
    </row>
    <row r="14" spans="2:7" x14ac:dyDescent="0.45">
      <c r="B14" s="53" t="s">
        <v>15</v>
      </c>
      <c r="C14" s="28" t="s">
        <v>16</v>
      </c>
      <c r="D14" s="29"/>
      <c r="E14" s="30"/>
      <c r="F14" s="30"/>
      <c r="G14" s="31"/>
    </row>
    <row r="15" spans="2:7" ht="38.25" x14ac:dyDescent="0.45">
      <c r="B15" s="52"/>
      <c r="C15" s="26" t="s">
        <v>17</v>
      </c>
      <c r="D15" s="15" t="s">
        <v>18</v>
      </c>
      <c r="E15" s="16">
        <f>IF(D15="Yes",F15,0)</f>
        <v>1</v>
      </c>
      <c r="F15" s="16">
        <f>IF(D15="NA",0,1)</f>
        <v>1</v>
      </c>
      <c r="G15" s="49"/>
    </row>
    <row r="16" spans="2:7" x14ac:dyDescent="0.45">
      <c r="B16" s="53" t="s">
        <v>19</v>
      </c>
      <c r="C16" s="28" t="s">
        <v>20</v>
      </c>
      <c r="D16" s="32"/>
      <c r="E16" s="30"/>
      <c r="F16" s="30"/>
      <c r="G16" s="31"/>
    </row>
    <row r="17" spans="2:7" ht="38.25" x14ac:dyDescent="0.45">
      <c r="B17" s="51"/>
      <c r="C17" s="26" t="s">
        <v>21</v>
      </c>
      <c r="D17" s="15" t="s">
        <v>18</v>
      </c>
      <c r="E17" s="16">
        <f>IF(D17="Yes",F17,0)</f>
        <v>5</v>
      </c>
      <c r="F17" s="16">
        <f>IF(D17="NA",0,5)</f>
        <v>5</v>
      </c>
      <c r="G17" s="17"/>
    </row>
    <row r="18" spans="2:7" x14ac:dyDescent="0.45">
      <c r="B18" s="51"/>
      <c r="C18" s="28" t="s">
        <v>22</v>
      </c>
      <c r="D18" s="32"/>
      <c r="E18" s="30"/>
      <c r="F18" s="30"/>
      <c r="G18" s="31"/>
    </row>
    <row r="19" spans="2:7" ht="25.5" x14ac:dyDescent="0.45">
      <c r="B19" s="51"/>
      <c r="C19" s="26" t="s">
        <v>23</v>
      </c>
      <c r="D19" s="15" t="s">
        <v>24</v>
      </c>
      <c r="E19" s="16">
        <f>IF(D19="Yes",F19,0)</f>
        <v>0</v>
      </c>
      <c r="F19" s="16">
        <f>IF(D19="NA",0,2)</f>
        <v>0</v>
      </c>
      <c r="G19" s="17"/>
    </row>
    <row r="20" spans="2:7" x14ac:dyDescent="0.45">
      <c r="B20" s="51"/>
      <c r="C20" s="33" t="s">
        <v>25</v>
      </c>
      <c r="D20" s="32"/>
      <c r="E20" s="30"/>
      <c r="F20" s="30"/>
      <c r="G20" s="31"/>
    </row>
    <row r="21" spans="2:7" ht="25.5" x14ac:dyDescent="0.45">
      <c r="B21" s="52"/>
      <c r="C21" s="26" t="s">
        <v>26</v>
      </c>
      <c r="D21" s="15" t="s">
        <v>18</v>
      </c>
      <c r="E21" s="16">
        <f>IF(D21="Yes",F21,0)</f>
        <v>2</v>
      </c>
      <c r="F21" s="16">
        <f>IF(D21="NA",0,2)</f>
        <v>2</v>
      </c>
      <c r="G21" s="17"/>
    </row>
    <row r="22" spans="2:7" x14ac:dyDescent="0.45">
      <c r="B22" s="51" t="s">
        <v>27</v>
      </c>
      <c r="C22" s="33" t="s">
        <v>28</v>
      </c>
      <c r="D22" s="32"/>
      <c r="E22" s="30"/>
      <c r="F22" s="30"/>
      <c r="G22" s="31"/>
    </row>
    <row r="23" spans="2:7" ht="38.25" x14ac:dyDescent="0.45">
      <c r="B23" s="51"/>
      <c r="C23" s="26" t="s">
        <v>29</v>
      </c>
      <c r="D23" s="15" t="s">
        <v>18</v>
      </c>
      <c r="E23" s="16">
        <f>IF(D23="Yes",F23,0)</f>
        <v>2</v>
      </c>
      <c r="F23" s="16">
        <f>IF(D23="NA",0,2)</f>
        <v>2</v>
      </c>
      <c r="G23" s="49"/>
    </row>
    <row r="24" spans="2:7" x14ac:dyDescent="0.45">
      <c r="B24" s="51"/>
      <c r="C24" s="33" t="s">
        <v>30</v>
      </c>
      <c r="D24" s="29"/>
      <c r="E24" s="30"/>
      <c r="F24" s="30"/>
      <c r="G24" s="31"/>
    </row>
    <row r="25" spans="2:7" ht="38.25" x14ac:dyDescent="0.45">
      <c r="B25" s="52"/>
      <c r="C25" s="26" t="s">
        <v>31</v>
      </c>
      <c r="D25" s="15" t="s">
        <v>18</v>
      </c>
      <c r="E25" s="16">
        <f>IF(D25="Yes",F25,0)</f>
        <v>5</v>
      </c>
      <c r="F25" s="16">
        <f>IF(D25="NA",0,5)</f>
        <v>5</v>
      </c>
      <c r="G25" s="50"/>
    </row>
    <row r="26" spans="2:7" x14ac:dyDescent="0.45">
      <c r="B26" s="53" t="s">
        <v>32</v>
      </c>
      <c r="C26" s="33" t="s">
        <v>33</v>
      </c>
      <c r="D26" s="32"/>
      <c r="E26" s="30"/>
      <c r="F26" s="30"/>
      <c r="G26" s="31"/>
    </row>
    <row r="27" spans="2:7" ht="25.5" x14ac:dyDescent="0.45">
      <c r="B27" s="51"/>
      <c r="C27" s="26" t="s">
        <v>34</v>
      </c>
      <c r="D27" s="15" t="s">
        <v>18</v>
      </c>
      <c r="E27" s="16">
        <f>IF(D27="Yes",F27,0)</f>
        <v>2</v>
      </c>
      <c r="F27" s="16">
        <f>IF(D27="NA",0,2)</f>
        <v>2</v>
      </c>
      <c r="G27" s="49"/>
    </row>
    <row r="28" spans="2:7" x14ac:dyDescent="0.45">
      <c r="B28" s="51"/>
      <c r="C28" s="28" t="s">
        <v>35</v>
      </c>
      <c r="D28" s="32"/>
      <c r="E28" s="30"/>
      <c r="F28" s="30"/>
      <c r="G28" s="31"/>
    </row>
    <row r="29" spans="2:7" ht="21" customHeight="1" x14ac:dyDescent="0.45">
      <c r="B29" s="51"/>
      <c r="C29" s="26" t="s">
        <v>36</v>
      </c>
      <c r="D29" s="15" t="s">
        <v>63</v>
      </c>
      <c r="E29" s="16">
        <f>IF(D29="Yes",F29,0)</f>
        <v>0</v>
      </c>
      <c r="F29" s="16">
        <f>IF(D29="NA",0,6)</f>
        <v>6</v>
      </c>
      <c r="G29" s="17"/>
    </row>
    <row r="30" spans="2:7" x14ac:dyDescent="0.45">
      <c r="B30" s="51"/>
      <c r="C30" s="33" t="s">
        <v>37</v>
      </c>
      <c r="D30" s="29"/>
      <c r="E30" s="30"/>
      <c r="F30" s="30"/>
      <c r="G30" s="31"/>
    </row>
    <row r="31" spans="2:7" ht="38.25" x14ac:dyDescent="0.45">
      <c r="B31" s="51"/>
      <c r="C31" s="26" t="s">
        <v>38</v>
      </c>
      <c r="D31" s="15" t="s">
        <v>18</v>
      </c>
      <c r="E31" s="16">
        <f>IF(D31="Yes",F31,0)</f>
        <v>5</v>
      </c>
      <c r="F31" s="16">
        <f>IF(D31="NA",0,5)</f>
        <v>5</v>
      </c>
      <c r="G31" s="17"/>
    </row>
    <row r="32" spans="2:7" x14ac:dyDescent="0.45">
      <c r="B32" s="53" t="s">
        <v>39</v>
      </c>
      <c r="C32" s="33" t="s">
        <v>40</v>
      </c>
      <c r="D32" s="32"/>
      <c r="E32" s="30"/>
      <c r="F32" s="30"/>
      <c r="G32" s="31"/>
    </row>
    <row r="33" spans="2:7" ht="38.25" x14ac:dyDescent="0.45">
      <c r="B33" s="52"/>
      <c r="C33" s="26" t="s">
        <v>41</v>
      </c>
      <c r="D33" s="15" t="s">
        <v>18</v>
      </c>
      <c r="E33" s="16">
        <f>IF(D33="Yes",F33,0)</f>
        <v>2</v>
      </c>
      <c r="F33" s="16">
        <f>IF(D33="NA",0,2)</f>
        <v>2</v>
      </c>
      <c r="G33" s="17"/>
    </row>
    <row r="34" spans="2:7" x14ac:dyDescent="0.45">
      <c r="B34" s="51" t="s">
        <v>42</v>
      </c>
      <c r="C34" s="33" t="s">
        <v>43</v>
      </c>
      <c r="D34" s="29"/>
      <c r="E34" s="30"/>
      <c r="F34" s="30"/>
      <c r="G34" s="31"/>
    </row>
    <row r="35" spans="2:7" x14ac:dyDescent="0.45">
      <c r="B35" s="52"/>
      <c r="C35" s="26" t="s">
        <v>44</v>
      </c>
      <c r="D35" s="15" t="s">
        <v>24</v>
      </c>
      <c r="E35" s="16">
        <f>IF(D35="Yes",F35,0)</f>
        <v>0</v>
      </c>
      <c r="F35" s="16">
        <f>IF(D35="NA",0,5)</f>
        <v>0</v>
      </c>
      <c r="G35" s="17"/>
    </row>
    <row r="36" spans="2:7" x14ac:dyDescent="0.45">
      <c r="B36" s="53" t="s">
        <v>45</v>
      </c>
      <c r="C36" s="33" t="s">
        <v>46</v>
      </c>
      <c r="D36" s="32"/>
      <c r="E36" s="30"/>
      <c r="F36" s="30"/>
      <c r="G36" s="31"/>
    </row>
    <row r="37" spans="2:7" ht="25.5" x14ac:dyDescent="0.45">
      <c r="B37" s="51"/>
      <c r="C37" s="26" t="s">
        <v>47</v>
      </c>
      <c r="D37" s="15" t="s">
        <v>18</v>
      </c>
      <c r="E37" s="16">
        <f>IF(D37="Yes",F37,0)</f>
        <v>5</v>
      </c>
      <c r="F37" s="16">
        <f>IF(D37="NA",0,5)</f>
        <v>5</v>
      </c>
      <c r="G37" s="17"/>
    </row>
    <row r="38" spans="2:7" x14ac:dyDescent="0.45">
      <c r="B38" s="51"/>
      <c r="C38" s="33" t="s">
        <v>48</v>
      </c>
      <c r="D38" s="32"/>
      <c r="E38" s="30"/>
      <c r="F38" s="30"/>
      <c r="G38" s="31"/>
    </row>
    <row r="39" spans="2:7" x14ac:dyDescent="0.45">
      <c r="B39" s="52"/>
      <c r="C39" s="26" t="s">
        <v>49</v>
      </c>
      <c r="D39" s="15" t="s">
        <v>18</v>
      </c>
      <c r="E39" s="16">
        <f>IF(D39="Yes",F39,0)</f>
        <v>3</v>
      </c>
      <c r="F39" s="16">
        <f>IF(D39="NA",0,3)</f>
        <v>3</v>
      </c>
      <c r="G39" s="49"/>
    </row>
    <row r="40" spans="2:7" x14ac:dyDescent="0.45">
      <c r="B40" s="53" t="s">
        <v>50</v>
      </c>
      <c r="C40" s="33" t="s">
        <v>51</v>
      </c>
      <c r="D40" s="29"/>
      <c r="E40" s="30"/>
      <c r="F40" s="30"/>
      <c r="G40" s="31"/>
    </row>
    <row r="41" spans="2:7" x14ac:dyDescent="0.45">
      <c r="B41" s="51"/>
      <c r="C41" s="27" t="s">
        <v>52</v>
      </c>
      <c r="D41" s="44" t="s">
        <v>18</v>
      </c>
      <c r="E41" s="16">
        <f>IF(D41="Yes",F41,0)</f>
        <v>2</v>
      </c>
      <c r="F41" s="16">
        <f>IF(D41="NA",0,2)</f>
        <v>2</v>
      </c>
      <c r="G41" s="17"/>
    </row>
    <row r="42" spans="2:7" ht="25.5" x14ac:dyDescent="0.45">
      <c r="B42" s="51"/>
      <c r="C42" s="26" t="s">
        <v>53</v>
      </c>
      <c r="D42" s="29" t="s">
        <v>18</v>
      </c>
      <c r="E42" s="16">
        <f>IF(D42="Yes",F42,0)</f>
        <v>2</v>
      </c>
      <c r="F42" s="16">
        <f>IF(D42="NA",0,2)</f>
        <v>2</v>
      </c>
      <c r="G42" s="17"/>
    </row>
    <row r="43" spans="2:7" x14ac:dyDescent="0.45">
      <c r="B43" s="51"/>
      <c r="C43" s="33" t="s">
        <v>54</v>
      </c>
      <c r="D43" s="47" t="str">
        <f>IF(COUNTIF(D44:D60,"No"),"No","Yes")</f>
        <v>No</v>
      </c>
      <c r="E43" s="16">
        <f>IF(D43="Yes",F43,0)</f>
        <v>0</v>
      </c>
      <c r="F43" s="16">
        <f>IF(D43="NA",0,2)</f>
        <v>2</v>
      </c>
      <c r="G43" s="31"/>
    </row>
    <row r="44" spans="2:7" x14ac:dyDescent="0.45">
      <c r="B44" s="51"/>
      <c r="C44" s="26" t="s">
        <v>55</v>
      </c>
      <c r="D44" s="46" t="s">
        <v>18</v>
      </c>
      <c r="E44" s="16"/>
      <c r="F44" s="16"/>
      <c r="G44" s="17"/>
    </row>
    <row r="45" spans="2:7" x14ac:dyDescent="0.45">
      <c r="B45" s="51"/>
      <c r="C45" s="26" t="s">
        <v>56</v>
      </c>
      <c r="D45" s="46" t="s">
        <v>18</v>
      </c>
      <c r="E45" s="16"/>
      <c r="F45" s="16"/>
      <c r="G45" s="17"/>
    </row>
    <row r="46" spans="2:7" x14ac:dyDescent="0.45">
      <c r="B46" s="51"/>
      <c r="C46" s="26" t="s">
        <v>57</v>
      </c>
      <c r="D46" s="46" t="s">
        <v>18</v>
      </c>
      <c r="E46" s="16"/>
      <c r="F46" s="16"/>
      <c r="G46" s="17"/>
    </row>
    <row r="47" spans="2:7" x14ac:dyDescent="0.45">
      <c r="B47" s="51"/>
      <c r="C47" s="26" t="s">
        <v>58</v>
      </c>
      <c r="D47" s="46" t="s">
        <v>18</v>
      </c>
      <c r="E47" s="16"/>
      <c r="F47" s="16"/>
      <c r="G47" s="17"/>
    </row>
    <row r="48" spans="2:7" x14ac:dyDescent="0.45">
      <c r="B48" s="51"/>
      <c r="C48" s="26" t="s">
        <v>59</v>
      </c>
      <c r="D48" s="46" t="s">
        <v>18</v>
      </c>
      <c r="E48" s="16"/>
      <c r="F48" s="16"/>
      <c r="G48" s="17"/>
    </row>
    <row r="49" spans="2:7" x14ac:dyDescent="0.45">
      <c r="B49" s="51"/>
      <c r="C49" s="27" t="s">
        <v>60</v>
      </c>
      <c r="D49" s="46" t="s">
        <v>18</v>
      </c>
      <c r="E49" s="16"/>
      <c r="F49" s="16"/>
      <c r="G49" s="17"/>
    </row>
    <row r="50" spans="2:7" x14ac:dyDescent="0.45">
      <c r="B50" s="51"/>
      <c r="C50" s="27" t="s">
        <v>61</v>
      </c>
      <c r="D50" s="46" t="s">
        <v>18</v>
      </c>
      <c r="E50" s="16"/>
      <c r="F50" s="16"/>
      <c r="G50" s="17"/>
    </row>
    <row r="51" spans="2:7" x14ac:dyDescent="0.45">
      <c r="B51" s="51"/>
      <c r="C51" s="27" t="s">
        <v>62</v>
      </c>
      <c r="D51" s="46" t="s">
        <v>63</v>
      </c>
      <c r="E51" s="16"/>
      <c r="F51" s="16"/>
      <c r="G51" s="17"/>
    </row>
    <row r="52" spans="2:7" x14ac:dyDescent="0.45">
      <c r="B52" s="51"/>
      <c r="C52" s="26" t="s">
        <v>64</v>
      </c>
      <c r="D52" s="46" t="s">
        <v>18</v>
      </c>
      <c r="E52" s="16"/>
      <c r="F52" s="16"/>
      <c r="G52" s="17"/>
    </row>
    <row r="53" spans="2:7" x14ac:dyDescent="0.45">
      <c r="B53" s="51"/>
      <c r="C53" s="27" t="s">
        <v>65</v>
      </c>
      <c r="D53" s="46" t="s">
        <v>18</v>
      </c>
      <c r="E53" s="16"/>
      <c r="F53" s="16"/>
      <c r="G53" s="17"/>
    </row>
    <row r="54" spans="2:7" x14ac:dyDescent="0.45">
      <c r="B54" s="51"/>
      <c r="C54" s="26" t="s">
        <v>59</v>
      </c>
      <c r="D54" s="46" t="s">
        <v>18</v>
      </c>
      <c r="E54" s="16"/>
      <c r="F54" s="16"/>
      <c r="G54" s="17"/>
    </row>
    <row r="55" spans="2:7" x14ac:dyDescent="0.45">
      <c r="B55" s="51"/>
      <c r="C55" s="26" t="s">
        <v>66</v>
      </c>
      <c r="D55" s="46" t="s">
        <v>18</v>
      </c>
      <c r="E55" s="16"/>
      <c r="F55" s="16"/>
      <c r="G55" s="17"/>
    </row>
    <row r="56" spans="2:7" x14ac:dyDescent="0.45">
      <c r="B56" s="51"/>
      <c r="C56" s="27" t="s">
        <v>67</v>
      </c>
      <c r="D56" s="46" t="s">
        <v>18</v>
      </c>
      <c r="E56" s="16"/>
      <c r="F56" s="16"/>
      <c r="G56" s="17"/>
    </row>
    <row r="57" spans="2:7" x14ac:dyDescent="0.45">
      <c r="B57" s="51"/>
      <c r="C57" s="26" t="s">
        <v>68</v>
      </c>
      <c r="D57" s="46" t="s">
        <v>18</v>
      </c>
      <c r="E57" s="16"/>
      <c r="F57" s="16"/>
      <c r="G57" s="17"/>
    </row>
    <row r="58" spans="2:7" x14ac:dyDescent="0.45">
      <c r="B58" s="51"/>
      <c r="C58" s="26" t="s">
        <v>69</v>
      </c>
      <c r="D58" s="46" t="s">
        <v>18</v>
      </c>
      <c r="E58" s="16"/>
      <c r="F58" s="16"/>
      <c r="G58" s="17"/>
    </row>
    <row r="59" spans="2:7" x14ac:dyDescent="0.45">
      <c r="B59" s="51"/>
      <c r="C59" s="26" t="s">
        <v>70</v>
      </c>
      <c r="D59" s="46" t="s">
        <v>18</v>
      </c>
      <c r="E59" s="16"/>
      <c r="F59" s="16"/>
      <c r="G59" s="17"/>
    </row>
    <row r="60" spans="2:7" x14ac:dyDescent="0.45">
      <c r="B60" s="52"/>
      <c r="C60" s="27" t="s">
        <v>71</v>
      </c>
      <c r="D60" s="46" t="s">
        <v>18</v>
      </c>
      <c r="E60" s="16"/>
      <c r="F60" s="16"/>
      <c r="G60" s="17"/>
    </row>
    <row r="61" spans="2:7" x14ac:dyDescent="0.45">
      <c r="B61" s="41" t="s">
        <v>72</v>
      </c>
      <c r="C61" s="42" t="s">
        <v>73</v>
      </c>
      <c r="D61" s="45" t="s">
        <v>63</v>
      </c>
      <c r="E61" s="41"/>
      <c r="F61" s="41"/>
      <c r="G61" s="43" t="s">
        <v>74</v>
      </c>
    </row>
    <row r="62" spans="2:7" x14ac:dyDescent="0.45">
      <c r="B62" s="41" t="s">
        <v>75</v>
      </c>
      <c r="C62" s="42" t="s">
        <v>76</v>
      </c>
      <c r="D62" s="45" t="s">
        <v>18</v>
      </c>
      <c r="E62" s="41"/>
      <c r="F62" s="41"/>
      <c r="G62" s="43" t="s">
        <v>74</v>
      </c>
    </row>
    <row r="63" spans="2:7" x14ac:dyDescent="0.45">
      <c r="B63" s="34"/>
      <c r="C63" s="14"/>
      <c r="D63" s="15"/>
      <c r="E63" s="16"/>
      <c r="F63" s="16"/>
      <c r="G63" s="17"/>
    </row>
    <row r="64" spans="2:7" x14ac:dyDescent="0.45">
      <c r="B64" s="34"/>
      <c r="C64" s="14"/>
      <c r="D64" s="15"/>
      <c r="E64" s="16"/>
      <c r="F64" s="16"/>
      <c r="G64" s="17"/>
    </row>
    <row r="65" spans="2:7" s="38" customFormat="1" x14ac:dyDescent="0.45">
      <c r="B65" s="35"/>
      <c r="C65" s="35"/>
      <c r="D65" s="36"/>
      <c r="E65" s="18">
        <f>SUM(E14:E64)</f>
        <v>36</v>
      </c>
      <c r="F65" s="18">
        <f>SUM(F14:F64)</f>
        <v>44</v>
      </c>
      <c r="G65" s="37"/>
    </row>
    <row r="66" spans="2:7" s="38" customFormat="1" x14ac:dyDescent="0.45">
      <c r="E66" s="39" t="s">
        <v>77</v>
      </c>
      <c r="F66" s="40">
        <f>E65/F65</f>
        <v>0.81818181818181823</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defaultRowHeight="14.25" x14ac:dyDescent="0.45"/>
  <cols>
    <col min="1" max="1" width="35.1328125" bestFit="1" customWidth="1"/>
  </cols>
  <sheetData>
    <row r="1" spans="1:7" x14ac:dyDescent="0.45">
      <c r="A1" s="2"/>
      <c r="B1" s="3" t="s">
        <v>78</v>
      </c>
      <c r="C1" s="3" t="s">
        <v>79</v>
      </c>
      <c r="D1" s="3" t="s">
        <v>80</v>
      </c>
      <c r="E1" s="3" t="s">
        <v>81</v>
      </c>
      <c r="F1" s="3" t="s">
        <v>82</v>
      </c>
      <c r="G1" s="4" t="s">
        <v>83</v>
      </c>
    </row>
    <row r="2" spans="1:7" x14ac:dyDescent="0.45">
      <c r="A2" s="5" t="s">
        <v>2</v>
      </c>
      <c r="B2" s="6" t="s">
        <v>84</v>
      </c>
      <c r="C2" s="6" t="s">
        <v>85</v>
      </c>
      <c r="D2" s="6" t="s">
        <v>86</v>
      </c>
      <c r="E2" s="6" t="s">
        <v>87</v>
      </c>
      <c r="F2" s="6" t="s">
        <v>88</v>
      </c>
      <c r="G2" s="7" t="s">
        <v>89</v>
      </c>
    </row>
    <row r="3" spans="1:7" x14ac:dyDescent="0.45">
      <c r="A3" s="5" t="s">
        <v>90</v>
      </c>
      <c r="B3" s="6" t="s">
        <v>91</v>
      </c>
      <c r="C3" s="6" t="s">
        <v>92</v>
      </c>
      <c r="D3" s="6" t="s">
        <v>93</v>
      </c>
      <c r="E3" s="6"/>
      <c r="F3" s="6"/>
      <c r="G3" s="7"/>
    </row>
    <row r="4" spans="1:7" x14ac:dyDescent="0.45">
      <c r="A4" s="5" t="s">
        <v>94</v>
      </c>
      <c r="B4" s="8"/>
      <c r="C4" s="8"/>
      <c r="D4" s="8"/>
      <c r="E4" s="8"/>
      <c r="F4" s="8"/>
      <c r="G4" s="9"/>
    </row>
    <row r="5" spans="1:7" x14ac:dyDescent="0.45">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Nomar Christian Arboleda</cp:lastModifiedBy>
  <cp:revision/>
  <dcterms:created xsi:type="dcterms:W3CDTF">2023-08-28T13:55:08Z</dcterms:created>
  <dcterms:modified xsi:type="dcterms:W3CDTF">2026-02-09T07:37:53Z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