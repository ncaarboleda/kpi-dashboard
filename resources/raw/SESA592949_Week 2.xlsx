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omar Arboleda\OneDrive\Desktop\Python Project\KPI 1 - Quality Audit\"/>
    </mc:Choice>
  </mc:AlternateContent>
  <xr:revisionPtr revIDLastSave="0" documentId="13_ncr:1_{69CF8E3F-A208-4A0F-A5EC-7F33B7D58463}" xr6:coauthVersionLast="47" xr6:coauthVersionMax="47" xr10:uidLastSave="{00000000-0000-0000-0000-000000000000}"/>
  <bookViews>
    <workbookView xWindow="-98" yWindow="-98" windowWidth="21795" windowHeight="12975" xr2:uid="{23217799-04CE-4E18-BD47-5F2C8672298D}"/>
  </bookViews>
  <sheets>
    <sheet name="Technical" sheetId="5" r:id="rId1"/>
    <sheet name="Sheet1" sheetId="6" r:id="rId2"/>
    <sheet name="LisT"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5" l="1"/>
  <c r="E29" i="5" s="1"/>
  <c r="F39" i="5"/>
  <c r="E39" i="5" s="1"/>
  <c r="F23" i="5"/>
  <c r="E23" i="5" s="1"/>
  <c r="F25" i="5"/>
  <c r="E25" i="5" s="1"/>
  <c r="F37" i="5"/>
  <c r="E37" i="5" s="1"/>
  <c r="F35" i="5"/>
  <c r="E35" i="5" s="1"/>
  <c r="F31" i="5"/>
  <c r="E31" i="5" s="1"/>
  <c r="F17" i="5"/>
  <c r="E17" i="5" s="1"/>
  <c r="F42" i="5"/>
  <c r="E42" i="5" s="1"/>
  <c r="F41" i="5"/>
  <c r="E41" i="5" s="1"/>
  <c r="F33" i="5"/>
  <c r="E33" i="5" s="1"/>
  <c r="F27" i="5"/>
  <c r="E27" i="5" s="1"/>
  <c r="F21" i="5"/>
  <c r="E21" i="5" s="1"/>
  <c r="F19" i="5"/>
  <c r="E19" i="5" s="1"/>
  <c r="F15" i="5"/>
  <c r="E15" i="5" s="1"/>
  <c r="D43" i="5"/>
  <c r="F43" i="5" s="1"/>
  <c r="F65" i="5" l="1"/>
  <c r="E43" i="5"/>
  <c r="E65" i="5" s="1"/>
  <c r="F66" i="5" l="1"/>
  <c r="E3" i="5" s="1"/>
</calcChain>
</file>

<file path=xl/sharedStrings.xml><?xml version="1.0" encoding="utf-8"?>
<sst xmlns="http://schemas.openxmlformats.org/spreadsheetml/2006/main" count="137" uniqueCount="103">
  <si>
    <t>Agent Name:</t>
  </si>
  <si>
    <t>Agent SESA:</t>
  </si>
  <si>
    <t>Type of Interaction</t>
  </si>
  <si>
    <t>Interaction Date</t>
  </si>
  <si>
    <t>Case Number</t>
  </si>
  <si>
    <t>Agent Geo-location</t>
  </si>
  <si>
    <t>Type of Evaluation</t>
  </si>
  <si>
    <t>Evaluator's Name</t>
  </si>
  <si>
    <t>Call ID (Genesys)</t>
  </si>
  <si>
    <t>Quality Attributes</t>
  </si>
  <si>
    <t>Performance Requirements</t>
  </si>
  <si>
    <t>Score</t>
  </si>
  <si>
    <t>Points Achieved</t>
  </si>
  <si>
    <t>Points Possible</t>
  </si>
  <si>
    <t>Comments</t>
  </si>
  <si>
    <t>Welcome</t>
  </si>
  <si>
    <t>Welcoming and Recognizing the customer</t>
  </si>
  <si>
    <t>Did the agent greet the customer as per local requirements with a "smile"
Use customer name (contact recognition permitting)? In case of Multimatch / Nomatch customer recognition, the agent need to ask relevant questions to customer to verify/confirm their identity</t>
  </si>
  <si>
    <t>Yes</t>
  </si>
  <si>
    <t>Understand</t>
  </si>
  <si>
    <t>Listening to the customer</t>
  </si>
  <si>
    <t>Agent actively listens to customer request, to understand the request, without interrupting. During this time the agent is collecting as much information as possible from the customer without making an assumption of the issue</t>
  </si>
  <si>
    <t>Understanding the customer</t>
  </si>
  <si>
    <t>Agent asks appropriate questions to discover customer requirements and any critical needs and investigates on related cases or previous actions, if necessary</t>
  </si>
  <si>
    <t>NA</t>
  </si>
  <si>
    <t>Customer-Centered</t>
  </si>
  <si>
    <t>Establishing trust (rapport, etc), adjusting to personality style, serving with empathy, delivering a positive message</t>
  </si>
  <si>
    <t>Serve</t>
  </si>
  <si>
    <t>Interaction Management</t>
  </si>
  <si>
    <r>
      <t xml:space="preserve">Agent handles the interaction in a reasonable amount of time and setting clear expectations for long silences / putting customer on hold if required. For </t>
    </r>
    <r>
      <rPr>
        <sz val="10"/>
        <rFont val="Arial"/>
        <family val="2"/>
      </rPr>
      <t>email interactions, agent followed the SLA and customer prioritization</t>
    </r>
  </si>
  <si>
    <t>Process Accuracy &amp; Knowledge</t>
  </si>
  <si>
    <t>Followed correct instructions, document/FAQ sent and attached are relevant, and the case have all appropriate actions to resolve the customer's issue (i.e.. RMA, WO, CCC Action, internal emails, FAQs, etc.)- Correct use of available tools to answer customer requests (bFO, E2E CT, ERP, etc.)</t>
  </si>
  <si>
    <t>Resolve</t>
  </si>
  <si>
    <t>Setting correct expectations</t>
  </si>
  <si>
    <t>If agent was not able to provide a clear answer to customer, did they provide a timeline with next steps and when an update will be provided?</t>
  </si>
  <si>
    <t>Clarity, Accuracy and Completeness of Solution</t>
  </si>
  <si>
    <t>Clear, correct answers given and explained solution is clear and easy to follow by the customer</t>
  </si>
  <si>
    <t>Ownership</t>
  </si>
  <si>
    <t xml:space="preserve">Agent takes ownership of the customer issue and assists from start to finish without premature case closure, escalation or transfer. Agent provides all necessary information and in the case of a follow-up confirms customer's preferred communication method </t>
  </si>
  <si>
    <t>Acknowledge and Close</t>
  </si>
  <si>
    <t>Confirm with customer proposed solution.</t>
  </si>
  <si>
    <t>Before ending the call or transferring - Did the agent check/confirmed with the customer that proposed solution is satisfactory? Check your six (Summarize, Re-confirm, Re-affirm) Offer further assistance
Provided case number if required</t>
  </si>
  <si>
    <t>Follow-Up</t>
  </si>
  <si>
    <t xml:space="preserve">Customer Critical - Follow-Up </t>
  </si>
  <si>
    <t>Agent followed through to ensure resolution provided was delivered as advised to customer</t>
  </si>
  <si>
    <t>Advocacy</t>
  </si>
  <si>
    <t>Digital tools and Self-Service Promotion</t>
  </si>
  <si>
    <t>Did the agent promote our digital tools or where the customer can self-service? E.g. promotion of chat, mySchneider, portal, product selector/configurator, FAQs, etc.</t>
  </si>
  <si>
    <t>Revenue Generation</t>
  </si>
  <si>
    <t>Did the agent upsell or offer additional services? Was a Lead created?</t>
  </si>
  <si>
    <t>Data Quality</t>
  </si>
  <si>
    <t>bFO Case Logging</t>
  </si>
  <si>
    <t>For portal origin cases, did the agent use a Public comment? (Case enrichment process)</t>
  </si>
  <si>
    <t>Did the agent log a case or link the interaction to an already existing case if applicable? Voice/Chat Interaction should be linked with the correct case</t>
  </si>
  <si>
    <t>bFO Case Quality</t>
  </si>
  <si>
    <t>Account</t>
  </si>
  <si>
    <t>Contact</t>
  </si>
  <si>
    <t>Related Account/Installed At</t>
  </si>
  <si>
    <t>Subject</t>
  </si>
  <si>
    <t>Customer Request</t>
  </si>
  <si>
    <t>Case Category</t>
  </si>
  <si>
    <t>Category Reason</t>
  </si>
  <si>
    <t>Other Reason</t>
  </si>
  <si>
    <t>No</t>
  </si>
  <si>
    <t>Commercial Reference/Family</t>
  </si>
  <si>
    <t>Symptoms</t>
  </si>
  <si>
    <t>Answer to Customer</t>
  </si>
  <si>
    <t>Action Needed From</t>
  </si>
  <si>
    <t>SO Field</t>
  </si>
  <si>
    <t>FAQ</t>
  </si>
  <si>
    <t>Other Fields (team specific)</t>
  </si>
  <si>
    <t>bFO Email Template</t>
  </si>
  <si>
    <t>Zero Tolerance Policy</t>
  </si>
  <si>
    <t>Failure to meet specific customer or busines critical requirements</t>
  </si>
  <si>
    <t>tick box in Sharepoint</t>
  </si>
  <si>
    <t>Auto Zero (Data Quality)</t>
  </si>
  <si>
    <t>Case created is duplicated (there is already an existing case)</t>
  </si>
  <si>
    <t>% Achieved</t>
  </si>
  <si>
    <t>Option1</t>
  </si>
  <si>
    <t>Option2</t>
  </si>
  <si>
    <t>Option3</t>
  </si>
  <si>
    <t>Option4</t>
  </si>
  <si>
    <t>Option5</t>
  </si>
  <si>
    <t>Option6</t>
  </si>
  <si>
    <t>Phone</t>
  </si>
  <si>
    <t>Chat</t>
  </si>
  <si>
    <t>Email</t>
  </si>
  <si>
    <t>Portal</t>
  </si>
  <si>
    <t>Web</t>
  </si>
  <si>
    <t>Mobile</t>
  </si>
  <si>
    <t>POC Country</t>
  </si>
  <si>
    <t>AU</t>
  </si>
  <si>
    <t>NZ</t>
  </si>
  <si>
    <t>PH</t>
  </si>
  <si>
    <t>Evaluator Name</t>
  </si>
  <si>
    <t>Evaluation type</t>
  </si>
  <si>
    <t>New Hire</t>
  </si>
  <si>
    <t>Regular</t>
  </si>
  <si>
    <t>Customer Experience</t>
  </si>
  <si>
    <t>Adhoc Audit</t>
  </si>
  <si>
    <t>VIP Audit</t>
  </si>
  <si>
    <t>NC Arboleda</t>
  </si>
  <si>
    <t>SESA592949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</si>
</sst>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0"/>
      <name val="Calibri"/>
      <family val="2"/>
      <scheme val="minor"/>
    </font>
    <font>
      <b/>
      <sz val="11"/>
      <name val="Arial"/>
      <family val="2"/>
    </font>
    <font>
      <sz val="11"/>
      <name val="Arial"/>
      <family val="2"/>
    </font>
    <font>
      <b/>
      <sz val="15"/>
      <name val="Arial"/>
      <family val="2"/>
    </font>
    <font>
      <sz val="11"/>
      <color indexed="8"/>
      <name val="Arial"/>
      <family val="2"/>
    </font>
    <font>
      <b/>
      <sz val="10"/>
      <color indexed="9"/>
      <name val="Arial"/>
      <family val="2"/>
    </font>
    <font>
      <b/>
      <sz val="10"/>
      <name val="Arial"/>
      <family val="2"/>
    </font>
    <font>
      <sz val="10"/>
      <name val="Arial"/>
      <family val="2"/>
    </font>
    <font>
      <sz val="9"/>
      <color indexed="8"/>
      <name val="Arial"/>
      <family val="2"/>
    </font>
    <font>
      <b/>
      <sz val="11"/>
      <color theme="1"/>
      <name val="Calibri"/>
      <family val="2"/>
      <charset val="238"/>
      <scheme val="minor"/>
    </font>
    <font>
      <i/>
      <sz val="11"/>
      <color theme="1"/>
      <name val="Calibri"/>
      <family val="2"/>
      <charset val="238"/>
      <scheme val="minor"/>
    </font>
    <font>
      <b/>
      <sz val="10"/>
      <color theme="0"/>
      <name val="Arial"/>
      <family val="2"/>
    </font>
    <font>
      <i/>
      <sz val="10"/>
      <name val="Arial"/>
      <family val="2"/>
    </font>
    <font>
      <sz val="10"/>
      <color theme="0"/>
      <name val="Arial"/>
      <family val="2"/>
    </font>
    <font>
      <sz val="11"/>
      <name val="Calibri"/>
      <family val="2"/>
      <scheme val="minor"/>
    </font>
    <font>
      <b/>
      <sz val="9"/>
      <color theme="0"/>
      <name val="Arial"/>
      <family val="2"/>
    </font>
    <font>
      <b/>
      <sz val="10"/>
      <color rgb="FFFF0000"/>
      <name val="Arial"/>
      <family val="2"/>
    </font>
  </fonts>
  <fills count="13">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0"/>
        <bgColor indexed="26"/>
      </patternFill>
    </fill>
    <fill>
      <patternFill patternType="solid">
        <fgColor theme="9" tint="0.59999389629810485"/>
        <bgColor indexed="64"/>
      </patternFill>
    </fill>
    <fill>
      <patternFill patternType="solid">
        <fgColor theme="9" tint="0.59999389629810485"/>
        <bgColor indexed="26"/>
      </patternFill>
    </fill>
    <fill>
      <patternFill patternType="solid">
        <fgColor theme="2"/>
        <bgColor indexed="64"/>
      </patternFill>
    </fill>
    <fill>
      <patternFill patternType="solid">
        <fgColor rgb="FFFF0000"/>
        <bgColor indexed="26"/>
      </patternFill>
    </fill>
    <fill>
      <patternFill patternType="solid">
        <fgColor rgb="FFFF0000"/>
        <bgColor indexed="64"/>
      </patternFill>
    </fill>
    <fill>
      <patternFill patternType="solid">
        <fgColor theme="7" tint="0.59999389629810485"/>
        <bgColor indexed="26"/>
      </patternFill>
    </fill>
    <fill>
      <patternFill patternType="solid">
        <fgColor theme="0" tint="-0.249977111117893"/>
        <bgColor indexed="26"/>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61">
    <xf numFmtId="0" fontId="0" fillId="0" borderId="0" xfId="0"/>
    <xf numFmtId="0" fontId="7" fillId="3" borderId="7" xfId="0" applyFont="1" applyFill="1" applyBorder="1" applyAlignment="1">
      <alignment horizontal="center" vertical="center"/>
    </xf>
    <xf numFmtId="0" fontId="11" fillId="0" borderId="0" xfId="0" applyFont="1"/>
    <xf numFmtId="0" fontId="12" fillId="0" borderId="0" xfId="0" applyFont="1"/>
    <xf numFmtId="0" fontId="12" fillId="0" borderId="4" xfId="0" applyFont="1" applyBorder="1"/>
    <xf numFmtId="0" fontId="11" fillId="4" borderId="8" xfId="0" applyFont="1" applyFill="1" applyBorder="1"/>
    <xf numFmtId="0" fontId="12" fillId="4" borderId="7" xfId="0" applyFont="1" applyFill="1" applyBorder="1"/>
    <xf numFmtId="0" fontId="12" fillId="4" borderId="9" xfId="0" applyFont="1" applyFill="1" applyBorder="1"/>
    <xf numFmtId="0" fontId="0" fillId="4" borderId="7" xfId="0" applyFill="1" applyBorder="1"/>
    <xf numFmtId="0" fontId="0" fillId="4" borderId="9" xfId="0" applyFill="1" applyBorder="1"/>
    <xf numFmtId="0" fontId="0" fillId="2" borderId="0" xfId="0" applyFill="1"/>
    <xf numFmtId="0" fontId="4" fillId="2" borderId="0" xfId="0" applyFont="1" applyFill="1" applyProtection="1">
      <protection locked="0"/>
    </xf>
    <xf numFmtId="0" fontId="4" fillId="2" borderId="0" xfId="0" applyFont="1" applyFill="1" applyAlignment="1" applyProtection="1">
      <alignment horizontal="right"/>
      <protection locked="0"/>
    </xf>
    <xf numFmtId="0" fontId="6" fillId="5" borderId="0" xfId="0" applyFont="1" applyFill="1" applyAlignment="1" applyProtection="1">
      <alignment horizontal="left" vertical="center" shrinkToFit="1"/>
      <protection locked="0"/>
    </xf>
    <xf numFmtId="0" fontId="9" fillId="2" borderId="7" xfId="0" applyFont="1" applyFill="1" applyBorder="1" applyAlignment="1">
      <alignment horizontal="left" vertical="center"/>
    </xf>
    <xf numFmtId="0" fontId="10" fillId="5" borderId="7" xfId="0" applyFont="1" applyFill="1" applyBorder="1" applyAlignment="1" applyProtection="1">
      <alignment horizontal="center" vertical="center" shrinkToFit="1"/>
      <protection locked="0"/>
    </xf>
    <xf numFmtId="0" fontId="8" fillId="2" borderId="7" xfId="0" applyFont="1" applyFill="1" applyBorder="1" applyAlignment="1">
      <alignment horizontal="center" vertical="center"/>
    </xf>
    <xf numFmtId="0" fontId="8" fillId="2" borderId="7" xfId="0"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pplyProtection="1">
      <alignment horizontal="center"/>
      <protection locked="0"/>
    </xf>
    <xf numFmtId="0" fontId="3" fillId="2" borderId="7" xfId="0" applyFont="1" applyFill="1" applyBorder="1" applyAlignment="1">
      <alignment horizontal="center" vertical="center"/>
    </xf>
    <xf numFmtId="0" fontId="4" fillId="2" borderId="7" xfId="0" applyFont="1" applyFill="1" applyBorder="1" applyAlignment="1" applyProtection="1">
      <alignment horizontal="center"/>
      <protection locked="0"/>
    </xf>
    <xf numFmtId="14" fontId="4" fillId="2" borderId="0" xfId="0" applyNumberFormat="1" applyFont="1" applyFill="1" applyAlignment="1" applyProtection="1">
      <alignment horizontal="center"/>
      <protection locked="0"/>
    </xf>
    <xf numFmtId="0" fontId="0" fillId="2" borderId="7" xfId="0" applyFill="1" applyBorder="1"/>
    <xf numFmtId="0" fontId="13" fillId="3" borderId="7" xfId="0" applyFont="1" applyFill="1" applyBorder="1" applyAlignment="1">
      <alignment horizontal="center"/>
    </xf>
    <xf numFmtId="0" fontId="14" fillId="2" borderId="7" xfId="0" applyFont="1" applyFill="1" applyBorder="1" applyAlignment="1">
      <alignment horizontal="left" vertical="center" wrapText="1"/>
    </xf>
    <xf numFmtId="0" fontId="14" fillId="2" borderId="7" xfId="0" applyFont="1" applyFill="1" applyBorder="1" applyAlignment="1">
      <alignment horizontal="left" vertical="center"/>
    </xf>
    <xf numFmtId="0" fontId="8" fillId="6" borderId="7" xfId="0" applyFont="1" applyFill="1" applyBorder="1" applyAlignment="1">
      <alignment horizontal="left" vertical="center"/>
    </xf>
    <xf numFmtId="0" fontId="10" fillId="7" borderId="7" xfId="0" applyFont="1" applyFill="1" applyBorder="1" applyAlignment="1" applyProtection="1">
      <alignment horizontal="center" vertical="center" shrinkToFit="1"/>
      <protection locked="0"/>
    </xf>
    <xf numFmtId="0" fontId="8" fillId="6" borderId="7" xfId="0" applyFont="1" applyFill="1" applyBorder="1" applyAlignment="1">
      <alignment horizontal="center" vertical="center"/>
    </xf>
    <xf numFmtId="0" fontId="8" fillId="6" borderId="7" xfId="0" applyFont="1" applyFill="1" applyBorder="1" applyAlignment="1" applyProtection="1">
      <alignment horizontal="center" vertical="center"/>
      <protection locked="0"/>
    </xf>
    <xf numFmtId="0" fontId="10" fillId="6" borderId="7" xfId="0" applyFont="1" applyFill="1" applyBorder="1" applyAlignment="1" applyProtection="1">
      <alignment horizontal="center" vertical="center" shrinkToFit="1"/>
      <protection locked="0"/>
    </xf>
    <xf numFmtId="0" fontId="8" fillId="6" borderId="7" xfId="0" applyFont="1" applyFill="1" applyBorder="1" applyAlignment="1">
      <alignment horizontal="left" vertical="center" wrapText="1"/>
    </xf>
    <xf numFmtId="0" fontId="9" fillId="8" borderId="7" xfId="0" applyFont="1" applyFill="1" applyBorder="1" applyAlignment="1">
      <alignment horizontal="center" vertical="center"/>
    </xf>
    <xf numFmtId="0" fontId="15" fillId="2" borderId="0" xfId="0" applyFont="1" applyFill="1" applyAlignment="1" applyProtection="1">
      <alignment horizontal="center" vertical="center"/>
      <protection locked="0"/>
    </xf>
    <xf numFmtId="0" fontId="15" fillId="2" borderId="0" xfId="0" applyFont="1" applyFill="1" applyProtection="1">
      <protection locked="0"/>
    </xf>
    <xf numFmtId="0" fontId="13" fillId="2" borderId="0" xfId="0" applyFont="1" applyFill="1" applyAlignment="1" applyProtection="1">
      <alignment horizontal="center" vertical="center"/>
      <protection locked="0"/>
    </xf>
    <xf numFmtId="0" fontId="2" fillId="2" borderId="0" xfId="0" applyFont="1" applyFill="1"/>
    <xf numFmtId="0" fontId="16" fillId="2" borderId="0" xfId="0" applyFont="1" applyFill="1" applyAlignment="1">
      <alignment horizontal="center"/>
    </xf>
    <xf numFmtId="9" fontId="16" fillId="2" borderId="0" xfId="1" applyFont="1" applyFill="1" applyAlignment="1">
      <alignment horizontal="center"/>
    </xf>
    <xf numFmtId="0" fontId="13" fillId="10" borderId="7" xfId="0" applyFont="1" applyFill="1" applyBorder="1" applyAlignment="1">
      <alignment horizontal="center" vertical="center"/>
    </xf>
    <xf numFmtId="0" fontId="13" fillId="10" borderId="7" xfId="0" applyFont="1" applyFill="1" applyBorder="1" applyAlignment="1">
      <alignment horizontal="left" vertical="center"/>
    </xf>
    <xf numFmtId="0" fontId="13" fillId="10" borderId="7" xfId="0" applyFont="1" applyFill="1" applyBorder="1" applyAlignment="1" applyProtection="1">
      <alignment horizontal="center" vertical="center"/>
      <protection locked="0"/>
    </xf>
    <xf numFmtId="0" fontId="10" fillId="0" borderId="7" xfId="0" applyFont="1" applyBorder="1" applyAlignment="1" applyProtection="1">
      <alignment horizontal="center" vertical="center" shrinkToFit="1"/>
      <protection locked="0"/>
    </xf>
    <xf numFmtId="0" fontId="17" fillId="9" borderId="7" xfId="0" applyFont="1" applyFill="1" applyBorder="1" applyAlignment="1" applyProtection="1">
      <alignment horizontal="center" vertical="center" shrinkToFit="1"/>
      <protection locked="0"/>
    </xf>
    <xf numFmtId="0" fontId="10" fillId="11" borderId="7" xfId="0" applyFont="1" applyFill="1" applyBorder="1" applyAlignment="1" applyProtection="1">
      <alignment horizontal="center" vertical="center" shrinkToFit="1"/>
      <protection locked="0"/>
    </xf>
    <xf numFmtId="0" fontId="10" fillId="12" borderId="7" xfId="0" applyFont="1" applyFill="1" applyBorder="1" applyAlignment="1">
      <alignment horizontal="center" vertical="center" shrinkToFit="1"/>
    </xf>
    <xf numFmtId="0" fontId="3" fillId="4" borderId="7" xfId="0" applyFont="1" applyFill="1" applyBorder="1" applyAlignment="1">
      <alignment horizontal="center" vertical="center"/>
    </xf>
    <xf numFmtId="0" fontId="8" fillId="2" borderId="7" xfId="0" applyFont="1" applyFill="1" applyBorder="1" applyAlignment="1" applyProtection="1">
      <alignment horizontal="center" vertical="center" wrapText="1"/>
      <protection locked="0"/>
    </xf>
    <xf numFmtId="0" fontId="18" fillId="2" borderId="7" xfId="0" applyFont="1" applyFill="1" applyBorder="1" applyAlignment="1" applyProtection="1">
      <alignment horizontal="center" vertical="center" wrapText="1"/>
      <protection locked="0"/>
    </xf>
    <xf numFmtId="0" fontId="8" fillId="8" borderId="12"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10" xfId="0" applyFont="1" applyFill="1" applyBorder="1" applyAlignment="1">
      <alignment horizontal="center" vertical="center"/>
    </xf>
    <xf numFmtId="10" fontId="5" fillId="2" borderId="1" xfId="0" applyNumberFormat="1" applyFont="1" applyFill="1" applyBorder="1" applyAlignment="1">
      <alignment horizontal="center" vertical="center"/>
    </xf>
    <xf numFmtId="10" fontId="5" fillId="2" borderId="2" xfId="0" applyNumberFormat="1" applyFont="1" applyFill="1" applyBorder="1" applyAlignment="1">
      <alignment horizontal="center" vertical="center"/>
    </xf>
    <xf numFmtId="10" fontId="5" fillId="2" borderId="3" xfId="0" applyNumberFormat="1" applyFont="1" applyFill="1" applyBorder="1" applyAlignment="1">
      <alignment horizontal="center" vertical="center"/>
    </xf>
    <xf numFmtId="10" fontId="5" fillId="2" borderId="4" xfId="0" applyNumberFormat="1" applyFont="1" applyFill="1" applyBorder="1" applyAlignment="1">
      <alignment horizontal="center" vertical="center"/>
    </xf>
    <xf numFmtId="10" fontId="5" fillId="2" borderId="5" xfId="0" applyNumberFormat="1" applyFont="1" applyFill="1" applyBorder="1" applyAlignment="1">
      <alignment horizontal="center" vertical="center"/>
    </xf>
    <xf numFmtId="10" fontId="5" fillId="2" borderId="6" xfId="0" applyNumberFormat="1" applyFont="1" applyFill="1" applyBorder="1" applyAlignment="1">
      <alignment horizontal="center" vertical="center"/>
    </xf>
    <xf numFmtId="14" fontId="4" fillId="2" borderId="7" xfId="0" applyNumberFormat="1" applyFont="1" applyFill="1" applyBorder="1" applyAlignment="1" applyProtection="1">
      <alignment horizontal="center"/>
      <protection locked="0"/>
    </xf>
  </cellXfs>
  <cellStyles count="2">
    <cellStyle name="Normal" xfId="0" builtinId="0"/>
    <cellStyle name="Percent" xfId="1" builtinId="5"/>
  </cellStyles>
  <dxfs count="21">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172B-A68A-47F5-BB92-9B91494F83D9}">
  <dimension ref="B2:G66"/>
  <sheetViews>
    <sheetView tabSelected="1" zoomScale="85" zoomScaleNormal="85" workbookViewId="0">
      <selection activeCell="C7" sqref="C7"/>
    </sheetView>
  </sheetViews>
  <sheetFormatPr defaultColWidth="8.86328125" defaultRowHeight="14.25" x14ac:dyDescent="0.45"/>
  <cols>
    <col min="1" max="1" width="8.86328125" style="10"/>
    <col min="2" max="2" width="41.59765625" style="10" bestFit="1" customWidth="1"/>
    <col min="3" max="3" width="88.59765625" style="10" customWidth="1"/>
    <col min="4" max="4" width="16.86328125" style="10" bestFit="1" customWidth="1"/>
    <col min="5" max="5" width="20.1328125" style="10" bestFit="1" customWidth="1"/>
    <col min="6" max="6" width="14.59765625" style="10" bestFit="1" customWidth="1"/>
    <col min="7" max="7" width="47.3984375" style="10" customWidth="1"/>
    <col min="8" max="16384" width="8.86328125" style="10"/>
  </cols>
  <sheetData>
    <row r="2" spans="2:7" ht="14.65" thickBot="1" x14ac:dyDescent="0.5"/>
    <row r="3" spans="2:7" x14ac:dyDescent="0.45">
      <c r="B3" s="21" t="s">
        <v>0</v>
      </c>
      <c r="C3" s="24" t="s">
        <v>101</v>
      </c>
      <c r="E3" s="54">
        <f>IF(D61="Yes",0%,IF(D61="No",F66))</f>
        <v>0.95454545454545459</v>
      </c>
      <c r="F3" s="55"/>
      <c r="G3" s="19"/>
    </row>
    <row r="4" spans="2:7" x14ac:dyDescent="0.45">
      <c r="B4" s="21" t="s">
        <v>1</v>
      </c>
      <c r="C4" s="24" t="s">
        <v>102</v>
      </c>
      <c r="D4" s="23"/>
      <c r="E4" s="56"/>
      <c r="F4" s="57"/>
      <c r="G4" s="20"/>
    </row>
    <row r="5" spans="2:7" x14ac:dyDescent="0.45">
      <c r="B5" s="21" t="s">
        <v>2</v>
      </c>
      <c r="C5" s="22"/>
      <c r="E5" s="56"/>
      <c r="F5" s="57"/>
      <c r="G5" s="19"/>
    </row>
    <row r="6" spans="2:7" x14ac:dyDescent="0.45">
      <c r="B6" s="21" t="s">
        <v>3</v>
      </c>
      <c r="C6" s="60">
        <v>46029</v>
      </c>
      <c r="D6" s="23"/>
      <c r="E6" s="56"/>
      <c r="F6" s="57"/>
      <c r="G6" s="20"/>
    </row>
    <row r="7" spans="2:7" x14ac:dyDescent="0.45">
      <c r="B7" s="21" t="s">
        <v>4</v>
      </c>
      <c r="C7" s="22"/>
      <c r="D7" s="23"/>
      <c r="E7" s="56"/>
      <c r="F7" s="57"/>
      <c r="G7" s="20"/>
    </row>
    <row r="8" spans="2:7" ht="14.65" thickBot="1" x14ac:dyDescent="0.5">
      <c r="B8" s="48" t="s">
        <v>5</v>
      </c>
      <c r="C8" s="22"/>
      <c r="D8" s="23"/>
      <c r="E8" s="58"/>
      <c r="F8" s="59"/>
      <c r="G8" s="20"/>
    </row>
    <row r="9" spans="2:7" x14ac:dyDescent="0.45">
      <c r="B9" s="21" t="s">
        <v>6</v>
      </c>
      <c r="C9" s="22"/>
      <c r="D9" s="23"/>
      <c r="E9" s="20"/>
      <c r="F9" s="20"/>
      <c r="G9" s="20"/>
    </row>
    <row r="10" spans="2:7" x14ac:dyDescent="0.45">
      <c r="B10" s="21" t="s">
        <v>7</v>
      </c>
      <c r="C10" s="22"/>
      <c r="D10" s="23"/>
      <c r="E10" s="20"/>
      <c r="F10" s="20"/>
      <c r="G10" s="20"/>
    </row>
    <row r="11" spans="2:7" x14ac:dyDescent="0.45">
      <c r="B11" s="48" t="s">
        <v>8</v>
      </c>
      <c r="C11" s="22"/>
      <c r="D11" s="23"/>
      <c r="E11" s="20"/>
      <c r="F11" s="20"/>
      <c r="G11" s="20"/>
    </row>
    <row r="12" spans="2:7" x14ac:dyDescent="0.45">
      <c r="B12" s="12"/>
      <c r="C12" s="13"/>
      <c r="D12" s="11"/>
      <c r="E12" s="11"/>
      <c r="F12" s="11"/>
      <c r="G12" s="11"/>
    </row>
    <row r="13" spans="2:7" x14ac:dyDescent="0.45">
      <c r="B13" s="1" t="s">
        <v>9</v>
      </c>
      <c r="C13" s="1" t="s">
        <v>10</v>
      </c>
      <c r="D13" s="25" t="s">
        <v>11</v>
      </c>
      <c r="E13" s="1" t="s">
        <v>12</v>
      </c>
      <c r="F13" s="1" t="s">
        <v>13</v>
      </c>
      <c r="G13" s="1" t="s">
        <v>14</v>
      </c>
    </row>
    <row r="14" spans="2:7" x14ac:dyDescent="0.45">
      <c r="B14" s="53" t="s">
        <v>15</v>
      </c>
      <c r="C14" s="28" t="s">
        <v>16</v>
      </c>
      <c r="D14" s="29"/>
      <c r="E14" s="30"/>
      <c r="F14" s="30"/>
      <c r="G14" s="31"/>
    </row>
    <row r="15" spans="2:7" ht="38.25" x14ac:dyDescent="0.45">
      <c r="B15" s="52"/>
      <c r="C15" s="26" t="s">
        <v>17</v>
      </c>
      <c r="D15" s="15" t="s">
        <v>18</v>
      </c>
      <c r="E15" s="16">
        <f>IF(D15="Yes",F15,0)</f>
        <v>1</v>
      </c>
      <c r="F15" s="16">
        <f>IF(D15="NA",0,1)</f>
        <v>1</v>
      </c>
      <c r="G15" s="49"/>
    </row>
    <row r="16" spans="2:7" x14ac:dyDescent="0.45">
      <c r="B16" s="53" t="s">
        <v>19</v>
      </c>
      <c r="C16" s="28" t="s">
        <v>20</v>
      </c>
      <c r="D16" s="32"/>
      <c r="E16" s="30"/>
      <c r="F16" s="30"/>
      <c r="G16" s="31"/>
    </row>
    <row r="17" spans="2:7" ht="38.25" x14ac:dyDescent="0.45">
      <c r="B17" s="51"/>
      <c r="C17" s="26" t="s">
        <v>21</v>
      </c>
      <c r="D17" s="15" t="s">
        <v>18</v>
      </c>
      <c r="E17" s="16">
        <f>IF(D17="Yes",F17,0)</f>
        <v>5</v>
      </c>
      <c r="F17" s="16">
        <f>IF(D17="NA",0,5)</f>
        <v>5</v>
      </c>
      <c r="G17" s="17"/>
    </row>
    <row r="18" spans="2:7" x14ac:dyDescent="0.45">
      <c r="B18" s="51"/>
      <c r="C18" s="28" t="s">
        <v>22</v>
      </c>
      <c r="D18" s="32"/>
      <c r="E18" s="30"/>
      <c r="F18" s="30"/>
      <c r="G18" s="31"/>
    </row>
    <row r="19" spans="2:7" ht="25.5" x14ac:dyDescent="0.45">
      <c r="B19" s="51"/>
      <c r="C19" s="26" t="s">
        <v>23</v>
      </c>
      <c r="D19" s="15" t="s">
        <v>24</v>
      </c>
      <c r="E19" s="16">
        <f>IF(D19="Yes",F19,0)</f>
        <v>0</v>
      </c>
      <c r="F19" s="16">
        <f>IF(D19="NA",0,2)</f>
        <v>0</v>
      </c>
      <c r="G19" s="17"/>
    </row>
    <row r="20" spans="2:7" x14ac:dyDescent="0.45">
      <c r="B20" s="51"/>
      <c r="C20" s="33" t="s">
        <v>25</v>
      </c>
      <c r="D20" s="32"/>
      <c r="E20" s="30"/>
      <c r="F20" s="30"/>
      <c r="G20" s="31"/>
    </row>
    <row r="21" spans="2:7" ht="25.5" x14ac:dyDescent="0.45">
      <c r="B21" s="52"/>
      <c r="C21" s="26" t="s">
        <v>26</v>
      </c>
      <c r="D21" s="15" t="s">
        <v>18</v>
      </c>
      <c r="E21" s="16">
        <f>IF(D21="Yes",F21,0)</f>
        <v>2</v>
      </c>
      <c r="F21" s="16">
        <f>IF(D21="NA",0,2)</f>
        <v>2</v>
      </c>
      <c r="G21" s="17"/>
    </row>
    <row r="22" spans="2:7" x14ac:dyDescent="0.45">
      <c r="B22" s="51" t="s">
        <v>27</v>
      </c>
      <c r="C22" s="33" t="s">
        <v>28</v>
      </c>
      <c r="D22" s="32"/>
      <c r="E22" s="30"/>
      <c r="F22" s="30"/>
      <c r="G22" s="31"/>
    </row>
    <row r="23" spans="2:7" ht="38.25" x14ac:dyDescent="0.45">
      <c r="B23" s="51"/>
      <c r="C23" s="26" t="s">
        <v>29</v>
      </c>
      <c r="D23" s="15" t="s">
        <v>18</v>
      </c>
      <c r="E23" s="16">
        <f>IF(D23="Yes",F23,0)</f>
        <v>2</v>
      </c>
      <c r="F23" s="16">
        <f>IF(D23="NA",0,2)</f>
        <v>2</v>
      </c>
      <c r="G23" s="49"/>
    </row>
    <row r="24" spans="2:7" x14ac:dyDescent="0.45">
      <c r="B24" s="51"/>
      <c r="C24" s="33" t="s">
        <v>30</v>
      </c>
      <c r="D24" s="29"/>
      <c r="E24" s="30"/>
      <c r="F24" s="30"/>
      <c r="G24" s="31"/>
    </row>
    <row r="25" spans="2:7" ht="38.25" x14ac:dyDescent="0.45">
      <c r="B25" s="52"/>
      <c r="C25" s="26" t="s">
        <v>31</v>
      </c>
      <c r="D25" s="15" t="s">
        <v>18</v>
      </c>
      <c r="E25" s="16">
        <f>IF(D25="Yes",F25,0)</f>
        <v>5</v>
      </c>
      <c r="F25" s="16">
        <f>IF(D25="NA",0,5)</f>
        <v>5</v>
      </c>
      <c r="G25" s="50"/>
    </row>
    <row r="26" spans="2:7" x14ac:dyDescent="0.45">
      <c r="B26" s="53" t="s">
        <v>32</v>
      </c>
      <c r="C26" s="33" t="s">
        <v>33</v>
      </c>
      <c r="D26" s="32"/>
      <c r="E26" s="30"/>
      <c r="F26" s="30"/>
      <c r="G26" s="31"/>
    </row>
    <row r="27" spans="2:7" ht="25.5" x14ac:dyDescent="0.45">
      <c r="B27" s="51"/>
      <c r="C27" s="26" t="s">
        <v>34</v>
      </c>
      <c r="D27" s="15" t="s">
        <v>18</v>
      </c>
      <c r="E27" s="16">
        <f>IF(D27="Yes",F27,0)</f>
        <v>2</v>
      </c>
      <c r="F27" s="16">
        <f>IF(D27="NA",0,2)</f>
        <v>2</v>
      </c>
      <c r="G27" s="49"/>
    </row>
    <row r="28" spans="2:7" x14ac:dyDescent="0.45">
      <c r="B28" s="51"/>
      <c r="C28" s="28" t="s">
        <v>35</v>
      </c>
      <c r="D28" s="32"/>
      <c r="E28" s="30"/>
      <c r="F28" s="30"/>
      <c r="G28" s="31"/>
    </row>
    <row r="29" spans="2:7" ht="21" customHeight="1" x14ac:dyDescent="0.45">
      <c r="B29" s="51"/>
      <c r="C29" s="26" t="s">
        <v>36</v>
      </c>
      <c r="D29" s="15" t="s">
        <v>18</v>
      </c>
      <c r="E29" s="16">
        <f>IF(D29="Yes",F29,0)</f>
        <v>6</v>
      </c>
      <c r="F29" s="16">
        <f>IF(D29="NA",0,6)</f>
        <v>6</v>
      </c>
      <c r="G29" s="17"/>
    </row>
    <row r="30" spans="2:7" x14ac:dyDescent="0.45">
      <c r="B30" s="51"/>
      <c r="C30" s="33" t="s">
        <v>37</v>
      </c>
      <c r="D30" s="29"/>
      <c r="E30" s="30"/>
      <c r="F30" s="30"/>
      <c r="G30" s="31"/>
    </row>
    <row r="31" spans="2:7" ht="38.25" x14ac:dyDescent="0.45">
      <c r="B31" s="51"/>
      <c r="C31" s="26" t="s">
        <v>38</v>
      </c>
      <c r="D31" s="15" t="s">
        <v>18</v>
      </c>
      <c r="E31" s="16">
        <f>IF(D31="Yes",F31,0)</f>
        <v>5</v>
      </c>
      <c r="F31" s="16">
        <f>IF(D31="NA",0,5)</f>
        <v>5</v>
      </c>
      <c r="G31" s="17"/>
    </row>
    <row r="32" spans="2:7" x14ac:dyDescent="0.45">
      <c r="B32" s="53" t="s">
        <v>39</v>
      </c>
      <c r="C32" s="33" t="s">
        <v>40</v>
      </c>
      <c r="D32" s="32"/>
      <c r="E32" s="30"/>
      <c r="F32" s="30"/>
      <c r="G32" s="31"/>
    </row>
    <row r="33" spans="2:7" ht="38.25" x14ac:dyDescent="0.45">
      <c r="B33" s="52"/>
      <c r="C33" s="26" t="s">
        <v>41</v>
      </c>
      <c r="D33" s="15" t="s">
        <v>18</v>
      </c>
      <c r="E33" s="16">
        <f>IF(D33="Yes",F33,0)</f>
        <v>2</v>
      </c>
      <c r="F33" s="16">
        <f>IF(D33="NA",0,2)</f>
        <v>2</v>
      </c>
      <c r="G33" s="17"/>
    </row>
    <row r="34" spans="2:7" x14ac:dyDescent="0.45">
      <c r="B34" s="51" t="s">
        <v>42</v>
      </c>
      <c r="C34" s="33" t="s">
        <v>43</v>
      </c>
      <c r="D34" s="29"/>
      <c r="E34" s="30"/>
      <c r="F34" s="30"/>
      <c r="G34" s="31"/>
    </row>
    <row r="35" spans="2:7" x14ac:dyDescent="0.45">
      <c r="B35" s="52"/>
      <c r="C35" s="26" t="s">
        <v>44</v>
      </c>
      <c r="D35" s="15" t="s">
        <v>24</v>
      </c>
      <c r="E35" s="16">
        <f>IF(D35="Yes",F35,0)</f>
        <v>0</v>
      </c>
      <c r="F35" s="16">
        <f>IF(D35="NA",0,5)</f>
        <v>0</v>
      </c>
      <c r="G35" s="17"/>
    </row>
    <row r="36" spans="2:7" x14ac:dyDescent="0.45">
      <c r="B36" s="53" t="s">
        <v>45</v>
      </c>
      <c r="C36" s="33" t="s">
        <v>46</v>
      </c>
      <c r="D36" s="32"/>
      <c r="E36" s="30"/>
      <c r="F36" s="30"/>
      <c r="G36" s="31"/>
    </row>
    <row r="37" spans="2:7" ht="25.5" x14ac:dyDescent="0.45">
      <c r="B37" s="51"/>
      <c r="C37" s="26" t="s">
        <v>47</v>
      </c>
      <c r="D37" s="15" t="s">
        <v>18</v>
      </c>
      <c r="E37" s="16">
        <f>IF(D37="Yes",F37,0)</f>
        <v>5</v>
      </c>
      <c r="F37" s="16">
        <f>IF(D37="NA",0,5)</f>
        <v>5</v>
      </c>
      <c r="G37" s="17"/>
    </row>
    <row r="38" spans="2:7" x14ac:dyDescent="0.45">
      <c r="B38" s="51"/>
      <c r="C38" s="33" t="s">
        <v>48</v>
      </c>
      <c r="D38" s="32"/>
      <c r="E38" s="30"/>
      <c r="F38" s="30"/>
      <c r="G38" s="31"/>
    </row>
    <row r="39" spans="2:7" x14ac:dyDescent="0.45">
      <c r="B39" s="52"/>
      <c r="C39" s="26" t="s">
        <v>49</v>
      </c>
      <c r="D39" s="15" t="s">
        <v>18</v>
      </c>
      <c r="E39" s="16">
        <f>IF(D39="Yes",F39,0)</f>
        <v>3</v>
      </c>
      <c r="F39" s="16">
        <f>IF(D39="NA",0,3)</f>
        <v>3</v>
      </c>
      <c r="G39" s="49"/>
    </row>
    <row r="40" spans="2:7" x14ac:dyDescent="0.45">
      <c r="B40" s="53" t="s">
        <v>50</v>
      </c>
      <c r="C40" s="33" t="s">
        <v>51</v>
      </c>
      <c r="D40" s="29"/>
      <c r="E40" s="30"/>
      <c r="F40" s="30"/>
      <c r="G40" s="31"/>
    </row>
    <row r="41" spans="2:7" x14ac:dyDescent="0.45">
      <c r="B41" s="51"/>
      <c r="C41" s="27" t="s">
        <v>52</v>
      </c>
      <c r="D41" s="44" t="s">
        <v>18</v>
      </c>
      <c r="E41" s="16">
        <f>IF(D41="Yes",F41,0)</f>
        <v>2</v>
      </c>
      <c r="F41" s="16">
        <f>IF(D41="NA",0,2)</f>
        <v>2</v>
      </c>
      <c r="G41" s="17"/>
    </row>
    <row r="42" spans="2:7" ht="25.5" x14ac:dyDescent="0.45">
      <c r="B42" s="51"/>
      <c r="C42" s="26" t="s">
        <v>53</v>
      </c>
      <c r="D42" s="29" t="s">
        <v>18</v>
      </c>
      <c r="E42" s="16">
        <f>IF(D42="Yes",F42,0)</f>
        <v>2</v>
      </c>
      <c r="F42" s="16">
        <f>IF(D42="NA",0,2)</f>
        <v>2</v>
      </c>
      <c r="G42" s="17"/>
    </row>
    <row r="43" spans="2:7" x14ac:dyDescent="0.45">
      <c r="B43" s="51"/>
      <c r="C43" s="33" t="s">
        <v>54</v>
      </c>
      <c r="D43" s="47" t="str">
        <f>IF(COUNTIF(D44:D60,"No"),"No","Yes")</f>
        <v>No</v>
      </c>
      <c r="E43" s="16">
        <f>IF(D43="Yes",F43,0)</f>
        <v>0</v>
      </c>
      <c r="F43" s="16">
        <f>IF(D43="NA",0,2)</f>
        <v>2</v>
      </c>
      <c r="G43" s="31"/>
    </row>
    <row r="44" spans="2:7" x14ac:dyDescent="0.45">
      <c r="B44" s="51"/>
      <c r="C44" s="26" t="s">
        <v>55</v>
      </c>
      <c r="D44" s="46" t="s">
        <v>18</v>
      </c>
      <c r="E44" s="16"/>
      <c r="F44" s="16"/>
      <c r="G44" s="17"/>
    </row>
    <row r="45" spans="2:7" x14ac:dyDescent="0.45">
      <c r="B45" s="51"/>
      <c r="C45" s="26" t="s">
        <v>56</v>
      </c>
      <c r="D45" s="46" t="s">
        <v>18</v>
      </c>
      <c r="E45" s="16"/>
      <c r="F45" s="16"/>
      <c r="G45" s="17"/>
    </row>
    <row r="46" spans="2:7" x14ac:dyDescent="0.45">
      <c r="B46" s="51"/>
      <c r="C46" s="26" t="s">
        <v>57</v>
      </c>
      <c r="D46" s="46" t="s">
        <v>18</v>
      </c>
      <c r="E46" s="16"/>
      <c r="F46" s="16"/>
      <c r="G46" s="17"/>
    </row>
    <row r="47" spans="2:7" x14ac:dyDescent="0.45">
      <c r="B47" s="51"/>
      <c r="C47" s="26" t="s">
        <v>58</v>
      </c>
      <c r="D47" s="46" t="s">
        <v>18</v>
      </c>
      <c r="E47" s="16"/>
      <c r="F47" s="16"/>
      <c r="G47" s="17"/>
    </row>
    <row r="48" spans="2:7" x14ac:dyDescent="0.45">
      <c r="B48" s="51"/>
      <c r="C48" s="26" t="s">
        <v>59</v>
      </c>
      <c r="D48" s="46" t="s">
        <v>18</v>
      </c>
      <c r="E48" s="16"/>
      <c r="F48" s="16"/>
      <c r="G48" s="17"/>
    </row>
    <row r="49" spans="2:7" x14ac:dyDescent="0.45">
      <c r="B49" s="51"/>
      <c r="C49" s="27" t="s">
        <v>60</v>
      </c>
      <c r="D49" s="46" t="s">
        <v>18</v>
      </c>
      <c r="E49" s="16"/>
      <c r="F49" s="16"/>
      <c r="G49" s="17"/>
    </row>
    <row r="50" spans="2:7" x14ac:dyDescent="0.45">
      <c r="B50" s="51"/>
      <c r="C50" s="27" t="s">
        <v>61</v>
      </c>
      <c r="D50" s="46" t="s">
        <v>18</v>
      </c>
      <c r="E50" s="16"/>
      <c r="F50" s="16"/>
      <c r="G50" s="17"/>
    </row>
    <row r="51" spans="2:7" x14ac:dyDescent="0.45">
      <c r="B51" s="51"/>
      <c r="C51" s="27" t="s">
        <v>62</v>
      </c>
      <c r="D51" s="46" t="s">
        <v>63</v>
      </c>
      <c r="E51" s="16"/>
      <c r="F51" s="16"/>
      <c r="G51" s="17"/>
    </row>
    <row r="52" spans="2:7" x14ac:dyDescent="0.45">
      <c r="B52" s="51"/>
      <c r="C52" s="26" t="s">
        <v>64</v>
      </c>
      <c r="D52" s="46" t="s">
        <v>18</v>
      </c>
      <c r="E52" s="16"/>
      <c r="F52" s="16"/>
      <c r="G52" s="17"/>
    </row>
    <row r="53" spans="2:7" x14ac:dyDescent="0.45">
      <c r="B53" s="51"/>
      <c r="C53" s="27" t="s">
        <v>65</v>
      </c>
      <c r="D53" s="46" t="s">
        <v>18</v>
      </c>
      <c r="E53" s="16"/>
      <c r="F53" s="16"/>
      <c r="G53" s="17"/>
    </row>
    <row r="54" spans="2:7" x14ac:dyDescent="0.45">
      <c r="B54" s="51"/>
      <c r="C54" s="26" t="s">
        <v>59</v>
      </c>
      <c r="D54" s="46" t="s">
        <v>18</v>
      </c>
      <c r="E54" s="16"/>
      <c r="F54" s="16"/>
      <c r="G54" s="17"/>
    </row>
    <row r="55" spans="2:7" x14ac:dyDescent="0.45">
      <c r="B55" s="51"/>
      <c r="C55" s="26" t="s">
        <v>66</v>
      </c>
      <c r="D55" s="46" t="s">
        <v>18</v>
      </c>
      <c r="E55" s="16"/>
      <c r="F55" s="16"/>
      <c r="G55" s="17"/>
    </row>
    <row r="56" spans="2:7" x14ac:dyDescent="0.45">
      <c r="B56" s="51"/>
      <c r="C56" s="27" t="s">
        <v>67</v>
      </c>
      <c r="D56" s="46" t="s">
        <v>18</v>
      </c>
      <c r="E56" s="16"/>
      <c r="F56" s="16"/>
      <c r="G56" s="17"/>
    </row>
    <row r="57" spans="2:7" x14ac:dyDescent="0.45">
      <c r="B57" s="51"/>
      <c r="C57" s="26" t="s">
        <v>68</v>
      </c>
      <c r="D57" s="46" t="s">
        <v>18</v>
      </c>
      <c r="E57" s="16"/>
      <c r="F57" s="16"/>
      <c r="G57" s="17"/>
    </row>
    <row r="58" spans="2:7" x14ac:dyDescent="0.45">
      <c r="B58" s="51"/>
      <c r="C58" s="26" t="s">
        <v>69</v>
      </c>
      <c r="D58" s="46" t="s">
        <v>18</v>
      </c>
      <c r="E58" s="16"/>
      <c r="F58" s="16"/>
      <c r="G58" s="17"/>
    </row>
    <row r="59" spans="2:7" x14ac:dyDescent="0.45">
      <c r="B59" s="51"/>
      <c r="C59" s="26" t="s">
        <v>70</v>
      </c>
      <c r="D59" s="46" t="s">
        <v>18</v>
      </c>
      <c r="E59" s="16"/>
      <c r="F59" s="16"/>
      <c r="G59" s="17"/>
    </row>
    <row r="60" spans="2:7" x14ac:dyDescent="0.45">
      <c r="B60" s="52"/>
      <c r="C60" s="27" t="s">
        <v>71</v>
      </c>
      <c r="D60" s="46" t="s">
        <v>18</v>
      </c>
      <c r="E60" s="16"/>
      <c r="F60" s="16"/>
      <c r="G60" s="17"/>
    </row>
    <row r="61" spans="2:7" x14ac:dyDescent="0.45">
      <c r="B61" s="41" t="s">
        <v>72</v>
      </c>
      <c r="C61" s="42" t="s">
        <v>73</v>
      </c>
      <c r="D61" s="45" t="s">
        <v>63</v>
      </c>
      <c r="E61" s="41"/>
      <c r="F61" s="41"/>
      <c r="G61" s="43" t="s">
        <v>74</v>
      </c>
    </row>
    <row r="62" spans="2:7" x14ac:dyDescent="0.45">
      <c r="B62" s="41" t="s">
        <v>75</v>
      </c>
      <c r="C62" s="42" t="s">
        <v>76</v>
      </c>
      <c r="D62" s="45" t="s">
        <v>18</v>
      </c>
      <c r="E62" s="41"/>
      <c r="F62" s="41"/>
      <c r="G62" s="43" t="s">
        <v>74</v>
      </c>
    </row>
    <row r="63" spans="2:7" x14ac:dyDescent="0.45">
      <c r="B63" s="34"/>
      <c r="C63" s="14"/>
      <c r="D63" s="15"/>
      <c r="E63" s="16"/>
      <c r="F63" s="16"/>
      <c r="G63" s="17"/>
    </row>
    <row r="64" spans="2:7" x14ac:dyDescent="0.45">
      <c r="B64" s="34"/>
      <c r="C64" s="14"/>
      <c r="D64" s="15"/>
      <c r="E64" s="16"/>
      <c r="F64" s="16"/>
      <c r="G64" s="17"/>
    </row>
    <row r="65" spans="2:7" s="38" customFormat="1" x14ac:dyDescent="0.45">
      <c r="B65" s="35"/>
      <c r="C65" s="35"/>
      <c r="D65" s="36"/>
      <c r="E65" s="18">
        <f>SUM(E14:E64)</f>
        <v>42</v>
      </c>
      <c r="F65" s="18">
        <f>SUM(F14:F64)</f>
        <v>44</v>
      </c>
      <c r="G65" s="37"/>
    </row>
    <row r="66" spans="2:7" s="38" customFormat="1" x14ac:dyDescent="0.45">
      <c r="E66" s="39" t="s">
        <v>77</v>
      </c>
      <c r="F66" s="40">
        <f>E65/F65</f>
        <v>0.95454545454545459</v>
      </c>
    </row>
  </sheetData>
  <mergeCells count="9">
    <mergeCell ref="B34:B35"/>
    <mergeCell ref="B40:B60"/>
    <mergeCell ref="E3:F8"/>
    <mergeCell ref="B14:B15"/>
    <mergeCell ref="B16:B21"/>
    <mergeCell ref="B22:B25"/>
    <mergeCell ref="B26:B31"/>
    <mergeCell ref="B32:B33"/>
    <mergeCell ref="B36:B39"/>
  </mergeCells>
  <conditionalFormatting sqref="D14:D17 D31:D37 D63:D64">
    <cfRule type="containsText" dxfId="20" priority="47" operator="containsText" text="Yes">
      <formula>NOT(ISERROR(SEARCH("Yes",D14)))</formula>
    </cfRule>
  </conditionalFormatting>
  <conditionalFormatting sqref="D18">
    <cfRule type="containsText" dxfId="19" priority="41" operator="containsText" text="No">
      <formula>NOT(ISERROR(SEARCH("No",D18)))</formula>
    </cfRule>
    <cfRule type="containsText" dxfId="18" priority="42" operator="containsText" text="Yes">
      <formula>NOT(ISERROR(SEARCH("Yes",D18)))</formula>
    </cfRule>
  </conditionalFormatting>
  <conditionalFormatting sqref="D19">
    <cfRule type="containsText" dxfId="17" priority="5" operator="containsText" text="No">
      <formula>NOT(ISERROR(SEARCH("No",D19)))</formula>
    </cfRule>
    <cfRule type="containsText" dxfId="16" priority="6" operator="containsText" text="Yes">
      <formula>NOT(ISERROR(SEARCH("Yes",D19)))</formula>
    </cfRule>
  </conditionalFormatting>
  <conditionalFormatting sqref="D20">
    <cfRule type="containsText" dxfId="15" priority="37" operator="containsText" text="No">
      <formula>NOT(ISERROR(SEARCH("No",D20)))</formula>
    </cfRule>
    <cfRule type="containsText" dxfId="14" priority="38" operator="containsText" text="Yes">
      <formula>NOT(ISERROR(SEARCH("Yes",D20)))</formula>
    </cfRule>
  </conditionalFormatting>
  <conditionalFormatting sqref="D21:D29">
    <cfRule type="containsText" dxfId="13" priority="7" operator="containsText" text="No">
      <formula>NOT(ISERROR(SEARCH("No",D21)))</formula>
    </cfRule>
    <cfRule type="containsText" dxfId="12" priority="8" operator="containsText" text="Yes">
      <formula>NOT(ISERROR(SEARCH("Yes",D21)))</formula>
    </cfRule>
  </conditionalFormatting>
  <conditionalFormatting sqref="D30">
    <cfRule type="containsText" dxfId="11" priority="39" operator="containsText" text="No">
      <formula>NOT(ISERROR(SEARCH("No",D30)))</formula>
    </cfRule>
    <cfRule type="containsText" dxfId="10" priority="40" operator="containsText" text="Yes">
      <formula>NOT(ISERROR(SEARCH("Yes",D30)))</formula>
    </cfRule>
  </conditionalFormatting>
  <conditionalFormatting sqref="D31:D37 D14:D17 D63:D64">
    <cfRule type="containsText" dxfId="9" priority="46" operator="containsText" text="No">
      <formula>NOT(ISERROR(SEARCH("No",D14)))</formula>
    </cfRule>
  </conditionalFormatting>
  <conditionalFormatting sqref="D34">
    <cfRule type="containsText" dxfId="8" priority="15" operator="containsText" text="No">
      <formula>NOT(ISERROR(SEARCH("No",D34)))</formula>
    </cfRule>
    <cfRule type="containsText" dxfId="7" priority="16" operator="containsText" text="Yes">
      <formula>NOT(ISERROR(SEARCH("Yes",D34)))</formula>
    </cfRule>
  </conditionalFormatting>
  <conditionalFormatting sqref="D35">
    <cfRule type="containsText" dxfId="6" priority="13" operator="containsText" text="No">
      <formula>NOT(ISERROR(SEARCH("No",D35)))</formula>
    </cfRule>
    <cfRule type="containsText" dxfId="5" priority="14" operator="containsText" text="Yes">
      <formula>NOT(ISERROR(SEARCH("Yes",D35)))</formula>
    </cfRule>
  </conditionalFormatting>
  <conditionalFormatting sqref="D38:D60">
    <cfRule type="containsText" dxfId="4" priority="1" operator="containsText" text="No">
      <formula>NOT(ISERROR(SEARCH("No",D38)))</formula>
    </cfRule>
    <cfRule type="containsText" dxfId="3" priority="2" operator="containsText" text="Yes">
      <formula>NOT(ISERROR(SEARCH("Yes",D38)))</formula>
    </cfRule>
  </conditionalFormatting>
  <conditionalFormatting sqref="E3:F8">
    <cfRule type="cellIs" dxfId="2" priority="43" operator="between">
      <formula>0.8</formula>
      <formula>0.8999</formula>
    </cfRule>
    <cfRule type="cellIs" dxfId="1" priority="44" operator="lessThanOrEqual">
      <formula>0.79</formula>
    </cfRule>
    <cfRule type="cellIs" dxfId="0" priority="45" operator="greaterThanOrEqual">
      <formula>0.9</formula>
    </cfRule>
  </conditionalFormatting>
  <dataValidations count="4">
    <dataValidation type="list" operator="equal" allowBlank="1" showErrorMessage="1" errorTitle="Invalid Response" error="Please choose the correct response from the Dropdown Menu" sqref="C12" xr:uid="{AC83CF78-BE1D-499D-A361-C7C45036FA24}">
      <formula1>$E$82:$E$88</formula1>
    </dataValidation>
    <dataValidation type="list" operator="equal" allowBlank="1" showErrorMessage="1" errorTitle="Invalid Response" error="Please choose the correct response from the Dropdown Menu" sqref="D44:D60 D27 D23 D25 D33:D42 D19 D31 D63:D64" xr:uid="{B09A323E-EAC2-444D-A57E-C7E2FC813E51}">
      <formula1>"Yes, No, NA"</formula1>
    </dataValidation>
    <dataValidation operator="equal" allowBlank="1" showErrorMessage="1" errorTitle="Invalid Response" error="Please choose the correct response from the Dropdown Menu" sqref="D36 D32 D26 D24 D16 D14:G14 D18 D30 D20 D22 D28 D34 D38" xr:uid="{5D0D4CEE-BC5C-4977-A9A9-BD42509A128E}"/>
    <dataValidation type="list" operator="equal" allowBlank="1" showErrorMessage="1" errorTitle="Invalid Response" error="Please choose the correct response from the Dropdown Menu" sqref="D61:D62 D29 D35 D15 D17 D21" xr:uid="{440CA8A9-56F2-4E4E-8009-EA3E4B49E7FF}">
      <formula1>"Yes, No"</formula1>
    </dataValidation>
  </dataValidations>
  <pageMargins left="0.7" right="0.7" top="0.75" bottom="0.75" header="0.3" footer="0.3"/>
  <pageSetup orientation="portrait" r:id="rId1"/>
  <headerFooter>
    <oddFooter>&amp;C&amp;"Calibri"&amp;10&amp;K000000_x000D_&amp;1#&amp;"Arial"&amp;6&amp;K626469Internal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B260EB8-00DD-41D9-BF25-31AF56B8880A}">
          <x14:formula1>
            <xm:f>LisT!$B$2:$G$2</xm:f>
          </x14:formula1>
          <xm:sqref>C5</xm:sqref>
        </x14:dataValidation>
        <x14:dataValidation type="list" allowBlank="1" showInputMessage="1" showErrorMessage="1" xr:uid="{58D073FD-A20F-44F9-AC8D-DFB1C5B02078}">
          <x14:formula1>
            <xm:f>LisT!$B$3:$D$3</xm:f>
          </x14:formula1>
          <xm:sqref>C8</xm:sqref>
        </x14:dataValidation>
        <x14:dataValidation type="list" allowBlank="1" showInputMessage="1" showErrorMessage="1" xr:uid="{3546F2D4-DB7C-4789-86A4-103A04D743AD}">
          <x14:formula1>
            <xm:f>LisT!$B$5:$F$5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CD6C-2CAD-4814-97C6-11C04DAB4C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919E-22FB-4185-9268-AAF266484BC8}">
  <dimension ref="A1:G5"/>
  <sheetViews>
    <sheetView workbookViewId="0">
      <selection activeCell="F5" sqref="F5"/>
    </sheetView>
  </sheetViews>
  <sheetFormatPr defaultRowHeight="14.25" x14ac:dyDescent="0.45"/>
  <cols>
    <col min="1" max="1" width="35.1328125" bestFit="1" customWidth="1"/>
  </cols>
  <sheetData>
    <row r="1" spans="1:7" x14ac:dyDescent="0.45">
      <c r="A1" s="2"/>
      <c r="B1" s="3" t="s">
        <v>78</v>
      </c>
      <c r="C1" s="3" t="s">
        <v>79</v>
      </c>
      <c r="D1" s="3" t="s">
        <v>80</v>
      </c>
      <c r="E1" s="3" t="s">
        <v>81</v>
      </c>
      <c r="F1" s="3" t="s">
        <v>82</v>
      </c>
      <c r="G1" s="4" t="s">
        <v>83</v>
      </c>
    </row>
    <row r="2" spans="1:7" x14ac:dyDescent="0.45">
      <c r="A2" s="5" t="s">
        <v>2</v>
      </c>
      <c r="B2" s="6" t="s">
        <v>84</v>
      </c>
      <c r="C2" s="6" t="s">
        <v>85</v>
      </c>
      <c r="D2" s="6" t="s">
        <v>86</v>
      </c>
      <c r="E2" s="6" t="s">
        <v>87</v>
      </c>
      <c r="F2" s="6" t="s">
        <v>88</v>
      </c>
      <c r="G2" s="7" t="s">
        <v>89</v>
      </c>
    </row>
    <row r="3" spans="1:7" x14ac:dyDescent="0.45">
      <c r="A3" s="5" t="s">
        <v>90</v>
      </c>
      <c r="B3" s="6" t="s">
        <v>91</v>
      </c>
      <c r="C3" s="6" t="s">
        <v>92</v>
      </c>
      <c r="D3" s="6" t="s">
        <v>93</v>
      </c>
      <c r="E3" s="6"/>
      <c r="F3" s="6"/>
      <c r="G3" s="7"/>
    </row>
    <row r="4" spans="1:7" x14ac:dyDescent="0.45">
      <c r="A4" s="5" t="s">
        <v>94</v>
      </c>
      <c r="B4" s="8"/>
      <c r="C4" s="8"/>
      <c r="D4" s="8"/>
      <c r="E4" s="8"/>
      <c r="F4" s="8"/>
      <c r="G4" s="9"/>
    </row>
    <row r="5" spans="1:7" x14ac:dyDescent="0.45">
      <c r="A5" s="5" t="s">
        <v>95</v>
      </c>
      <c r="B5" s="6" t="s">
        <v>96</v>
      </c>
      <c r="C5" s="6" t="s">
        <v>97</v>
      </c>
      <c r="D5" s="6" t="s">
        <v>98</v>
      </c>
      <c r="E5" s="6" t="s">
        <v>99</v>
      </c>
      <c r="F5" s="6" t="s">
        <v>100</v>
      </c>
      <c r="G5" s="7"/>
    </row>
  </sheetData>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Technical</vt:lpstr>
      <vt:lpstr>Sheet1</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Marivic Evelyn NAVARRO</dc:creator>
  <cp:keywords/>
  <dc:description/>
  <cp:lastModifiedBy>Nomar Christian Arboleda</cp:lastModifiedBy>
  <cp:revision/>
  <dcterms:created xsi:type="dcterms:W3CDTF">2023-08-28T13:55:08Z</dcterms:created>
  <dcterms:modified xsi:type="dcterms:W3CDTF">2026-02-09T07:39:45Z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2023-08-31T04:00:56Z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3cb92fba-acbc-466e-9064-aba9ce14ec83</vt:lpwstr>
  </property>
  <property fmtid="{D5CDD505-2E9C-101B-9397-08002B2CF9AE}" pid="8" name="MSIP_Label_23f93e5f-d3c2-49a7-ba94-15405423c204_ContentBits">
    <vt:lpwstr>2</vt:lpwstr>
  </property>
</Properties>
</file>