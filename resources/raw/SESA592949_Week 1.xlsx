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DEF78369-50C3-486D-B9BD-175A0EBE7B7A}"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<sst xmlns="http://schemas.openxmlformats.org/spreadsheetml/2006/main" count="137" uniqueCount="103">
  <si>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</si>
  <si>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</si>
  <si>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</si>
  <si>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</si>
  <si>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</si>
  <si>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</si>
  <si>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</si>
  <si>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</si>
  <si>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</si>
  <si>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</si>
  <si>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</si>
  <si>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</si>
  <si>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</si>
  <si>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</si>
  <si>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</si>
  <si>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</si>
  <si>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</si>
  <si>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</si>
  <si>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</si>
  <si>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</si>
  <si>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</si>
  <si>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</si>
  <si>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</si>
  <si>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</si>
  <si>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</si>
  <si>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</si>
  <si>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</si>
  <si>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</si>
  <si>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</si>
  <si>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</si>
  <si>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</si>
  <si>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</si>
  <si>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</si>
  <si>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</si>
  <si>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</si>
  <si>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</si>
  <si>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</si>
  <si>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</si>
  <si>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</si>
  <si>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</si>
  <si>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</si>
  <si>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</si>
  <si>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</si>
  <si>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</si>
  <si>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</si>
  <si>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</si>
  <si>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</si>
  <si>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</si>
  <si>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</si>
  <si>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</si>
  <si>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</si>
  <si>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</si>
  <si>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</si>
  <si>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</si>
  <si>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</si>
  <si>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</si>
  <si>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</si>
  <si>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</si>
  <si>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</si>
  <si>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</si>
  <si>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</si>
  <si>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</si>
  <si>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</si>
  <si>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</si>
  <si>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</si>
  <si>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</si>
  <si>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</si>
  <si>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</si>
  <si>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</si>
  <si>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</si>
  <si>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</si>
  <si>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</si>
  <si>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</si>
  <si>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</si>
  <si>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</si>
  <si>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</si>
  <si>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</si>
  <si>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</si>
  <si>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</si>
  <si>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</si>
  <si>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</si>
  <si>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</si>
  <si>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</si>
  <si>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</si>
  <si>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</si>
  <si>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</si>
  <si>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</si>
  <si>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</si>
  <si>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</si>
  <si>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</si>
  <si>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</si>
  <si>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</si>
  <si>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</si>
  <si>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</si>
  <si>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</si>
  <si>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</si>
  <si>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</si>
  <si>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</si>
  <si>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</si>
  <si>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</si>
  <si>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</si>
  <si>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NC Arboleda</t>
  </si>
  <si>
    <t>SESA592949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</si>
</sst>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D17" sqref="D17"/>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0.84090909090909094</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46023</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18</v>
      </c>
      <c r="E15" s="16">
        <f>IF(D15="Yes",F15,0)</f>
        <v>1</v>
      </c>
      <c r="F15" s="16">
        <f>IF(D15="NA",0,1)</f>
        <v>1</v>
      </c>
      <c r="G15" s="49"/>
    </row>
    <row r="16" spans="2:7" x14ac:dyDescent="0.45">
      <c r="B16" s="53" t="s">
        <v>19</v>
      </c>
      <c r="C16" s="28" t="s">
        <v>20</v>
      </c>
      <c r="D16" s="32"/>
      <c r="E16" s="30"/>
      <c r="F16" s="30"/>
      <c r="G16" s="31"/>
    </row>
    <row r="17" spans="2:7" ht="38.25" x14ac:dyDescent="0.45">
      <c r="B17" s="51"/>
      <c r="C17" s="26" t="s">
        <v>21</v>
      </c>
      <c r="D17" s="15" t="s">
        <v>63</v>
      </c>
      <c r="E17" s="16">
        <f>IF(D17="Yes",F17,0)</f>
        <v>0</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18</v>
      </c>
      <c r="E23" s="16">
        <f>IF(D23="Yes",F23,0)</f>
        <v>2</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18</v>
      </c>
      <c r="E29" s="16">
        <f>IF(D29="Yes",F29,0)</f>
        <v>6</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37</v>
      </c>
      <c r="F65" s="18">
        <f>SUM(F14:F64)</f>
        <v>44</v>
      </c>
      <c r="G65" s="37"/>
    </row>
    <row r="66" spans="2:7" s="38" customFormat="1" x14ac:dyDescent="0.45">
      <c r="E66" s="39" t="s">
        <v>77</v>
      </c>
      <c r="F66" s="40">
        <f>E65/F65</f>
        <v>0.84090909090909094</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2026-02-09T07:39:16Z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